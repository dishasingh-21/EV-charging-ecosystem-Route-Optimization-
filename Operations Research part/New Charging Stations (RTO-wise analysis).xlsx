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mc:AlternateContent xmlns:mc="http://schemas.openxmlformats.org/markup-compatibility/2006">
    <mc:Choice Requires="x15">
      <x15ac:absPath xmlns:x15ac="http://schemas.microsoft.com/office/spreadsheetml/2010/11/ac" url="https://d.docs.live.net/91b6842ba99ba47f/Documents/"/>
    </mc:Choice>
  </mc:AlternateContent>
  <xr:revisionPtr revIDLastSave="0" documentId="8_{B46980D5-78E0-43A9-A2CD-ABAD372838B1}" xr6:coauthVersionLast="47" xr6:coauthVersionMax="47" xr10:uidLastSave="{00000000-0000-0000-0000-000000000000}"/>
  <bookViews>
    <workbookView xWindow="-110" yWindow="-110" windowWidth="19420" windowHeight="11500" firstSheet="1" activeTab="1" xr2:uid="{00000000-000D-0000-FFFF-FFFF00000000}"/>
  </bookViews>
  <sheets>
    <sheet name="Rajasthan" sheetId="1" r:id="rId1"/>
    <sheet name="OR" sheetId="2" r:id="rId2"/>
    <sheet name="Sheet2" sheetId="3" r:id="rId3"/>
    <sheet name="Sheet3" sheetId="4" r:id="rId4"/>
  </sheet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3" i="2" l="1"/>
  <c r="O34" i="2"/>
  <c r="O35" i="2"/>
  <c r="P35" i="2" s="1"/>
  <c r="O36" i="2"/>
  <c r="P36" i="2" s="1"/>
  <c r="O37" i="2"/>
  <c r="P37" i="2" s="1"/>
  <c r="O38" i="2"/>
  <c r="P38" i="2" s="1"/>
  <c r="O39" i="2"/>
  <c r="P39" i="2" s="1"/>
  <c r="O40" i="2"/>
  <c r="P40" i="2" s="1"/>
  <c r="O41" i="2"/>
  <c r="P41" i="2" s="1"/>
  <c r="O42" i="2"/>
  <c r="P42" i="2" s="1"/>
  <c r="O43" i="2"/>
  <c r="P43" i="2" s="1"/>
  <c r="O44" i="2"/>
  <c r="P44" i="2" s="1"/>
  <c r="O45" i="2"/>
  <c r="O46" i="2"/>
  <c r="P46" i="2" s="1"/>
  <c r="O47" i="2"/>
  <c r="P47" i="2" s="1"/>
  <c r="O48" i="2"/>
  <c r="P48" i="2" s="1"/>
  <c r="O49" i="2"/>
  <c r="P49" i="2" s="1"/>
  <c r="O50" i="2"/>
  <c r="P50" i="2" s="1"/>
  <c r="O51" i="2"/>
  <c r="P51" i="2" s="1"/>
  <c r="O52" i="2"/>
  <c r="P52" i="2" s="1"/>
  <c r="O53" i="2"/>
  <c r="P53" i="2" s="1"/>
  <c r="P33" i="2"/>
  <c r="P34" i="2"/>
  <c r="P45" i="2"/>
  <c r="O32" i="2"/>
  <c r="P32" i="2" s="1"/>
  <c r="N30" i="2"/>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N27" i="2"/>
  <c r="D8" i="3"/>
  <c r="D7" i="3"/>
  <c r="D6" i="3"/>
  <c r="D5" i="3"/>
  <c r="D4" i="3"/>
  <c r="D3" i="3"/>
  <c r="D2" i="3"/>
  <c r="M26" i="2"/>
  <c r="M25" i="2"/>
  <c r="M24" i="2"/>
  <c r="M23" i="2"/>
  <c r="M22" i="2"/>
  <c r="M21" i="2"/>
  <c r="M20" i="2"/>
  <c r="M19" i="2"/>
  <c r="M18" i="2"/>
  <c r="M17" i="2"/>
  <c r="M16" i="2"/>
  <c r="M15" i="2"/>
  <c r="M14" i="2"/>
  <c r="M13" i="2"/>
  <c r="M12" i="2"/>
  <c r="M11" i="2"/>
  <c r="M10" i="2"/>
  <c r="M9" i="2"/>
  <c r="M8" i="2"/>
  <c r="M7" i="2"/>
  <c r="M6" i="2"/>
  <c r="M5" i="2"/>
  <c r="M4" i="2"/>
  <c r="M3" i="2"/>
  <c r="AP62" i="1"/>
  <c r="T62" i="1"/>
  <c r="J62" i="1"/>
  <c r="G62" i="1"/>
  <c r="F62" i="1"/>
  <c r="H62" i="1" s="1"/>
  <c r="AP61" i="1"/>
  <c r="T61" i="1"/>
  <c r="J61" i="1"/>
  <c r="H61" i="1"/>
  <c r="G61" i="1"/>
  <c r="F61" i="1"/>
  <c r="AP60" i="1"/>
  <c r="T60" i="1"/>
  <c r="J60" i="1"/>
  <c r="H60" i="1"/>
  <c r="G60" i="1"/>
  <c r="F60" i="1"/>
  <c r="AP59" i="1"/>
  <c r="T59" i="1"/>
  <c r="J59" i="1"/>
  <c r="G59" i="1"/>
  <c r="F59" i="1"/>
  <c r="AP58" i="1"/>
  <c r="T58" i="1"/>
  <c r="J58" i="1"/>
  <c r="G58" i="1"/>
  <c r="F58" i="1"/>
  <c r="AP57" i="1"/>
  <c r="T57" i="1"/>
  <c r="J57" i="1"/>
  <c r="H57" i="1"/>
  <c r="G57" i="1"/>
  <c r="F57" i="1"/>
  <c r="AP56" i="1"/>
  <c r="T56" i="1"/>
  <c r="J56" i="1"/>
  <c r="H56" i="1"/>
  <c r="G56" i="1"/>
  <c r="F56" i="1"/>
  <c r="AP55" i="1"/>
  <c r="T55" i="1"/>
  <c r="J55" i="1"/>
  <c r="H55" i="1"/>
  <c r="G55" i="1"/>
  <c r="F55" i="1"/>
  <c r="AP54" i="1"/>
  <c r="T54" i="1"/>
  <c r="J54" i="1"/>
  <c r="H54" i="1"/>
  <c r="G54" i="1"/>
  <c r="F54" i="1"/>
  <c r="AP53" i="1"/>
  <c r="T53" i="1"/>
  <c r="J53" i="1"/>
  <c r="G53" i="1"/>
  <c r="F53" i="1"/>
  <c r="H53" i="1" s="1"/>
  <c r="AP52" i="1"/>
  <c r="T52" i="1"/>
  <c r="J52" i="1"/>
  <c r="H52" i="1"/>
  <c r="G52" i="1"/>
  <c r="F52" i="1"/>
  <c r="AP51" i="1"/>
  <c r="T51" i="1"/>
  <c r="J51" i="1"/>
  <c r="G51" i="1"/>
  <c r="F51" i="1"/>
  <c r="H51" i="1" s="1"/>
  <c r="AP50" i="1"/>
  <c r="T50" i="1"/>
  <c r="J50" i="1"/>
  <c r="G50" i="1"/>
  <c r="H50" i="1" s="1"/>
  <c r="F50" i="1"/>
  <c r="AP49" i="1"/>
  <c r="T49" i="1"/>
  <c r="J49" i="1"/>
  <c r="H49" i="1"/>
  <c r="G49" i="1"/>
  <c r="F49" i="1"/>
  <c r="AP48" i="1"/>
  <c r="T48" i="1"/>
  <c r="J48" i="1"/>
  <c r="G48" i="1"/>
  <c r="F48" i="1"/>
  <c r="H48" i="1" s="1"/>
  <c r="AP47" i="1"/>
  <c r="T47" i="1"/>
  <c r="J47" i="1"/>
  <c r="G47" i="1"/>
  <c r="F47" i="1"/>
  <c r="H47" i="1" s="1"/>
  <c r="AP46" i="1"/>
  <c r="T46" i="1"/>
  <c r="J46" i="1"/>
  <c r="G46" i="1"/>
  <c r="F46" i="1"/>
  <c r="AP45" i="1"/>
  <c r="T45" i="1"/>
  <c r="J45" i="1"/>
  <c r="H45" i="1"/>
  <c r="G45" i="1"/>
  <c r="F45" i="1"/>
  <c r="AP44" i="1"/>
  <c r="T44" i="1"/>
  <c r="J44" i="1"/>
  <c r="H44" i="1"/>
  <c r="G44" i="1"/>
  <c r="F44" i="1"/>
  <c r="AP43" i="1"/>
  <c r="T43" i="1"/>
  <c r="J43" i="1"/>
  <c r="G43" i="1"/>
  <c r="F43" i="1"/>
  <c r="AP42" i="1"/>
  <c r="T42" i="1"/>
  <c r="J42" i="1"/>
  <c r="G42" i="1"/>
  <c r="F42" i="1"/>
  <c r="H42" i="1" s="1"/>
  <c r="AP41" i="1"/>
  <c r="T41" i="1"/>
  <c r="J41" i="1"/>
  <c r="G41" i="1"/>
  <c r="F41" i="1"/>
  <c r="AP40" i="1"/>
  <c r="T40" i="1"/>
  <c r="J40" i="1"/>
  <c r="H40" i="1"/>
  <c r="G40" i="1"/>
  <c r="F40" i="1"/>
  <c r="AP39" i="1"/>
  <c r="T39" i="1"/>
  <c r="J39" i="1"/>
  <c r="G39" i="1"/>
  <c r="F39" i="1"/>
  <c r="H39" i="1" s="1"/>
  <c r="AP38" i="1"/>
  <c r="T38" i="1"/>
  <c r="J38" i="1"/>
  <c r="G38" i="1"/>
  <c r="H38" i="1" s="1"/>
  <c r="F38" i="1"/>
  <c r="AP37" i="1"/>
  <c r="T37" i="1"/>
  <c r="J37" i="1"/>
  <c r="H37" i="1"/>
  <c r="G37" i="1"/>
  <c r="F37" i="1"/>
  <c r="AP36" i="1"/>
  <c r="T36" i="1"/>
  <c r="J36" i="1"/>
  <c r="G36" i="1"/>
  <c r="F36" i="1"/>
  <c r="H36" i="1" s="1"/>
  <c r="AP35" i="1"/>
  <c r="T35" i="1"/>
  <c r="J35" i="1"/>
  <c r="G35" i="1"/>
  <c r="F35" i="1"/>
  <c r="AP34" i="1"/>
  <c r="T34" i="1"/>
  <c r="J34" i="1"/>
  <c r="H34" i="1"/>
  <c r="G34" i="1"/>
  <c r="F34" i="1"/>
  <c r="AP33" i="1"/>
  <c r="T33" i="1"/>
  <c r="J33" i="1"/>
  <c r="G33" i="1"/>
  <c r="F33" i="1"/>
  <c r="H33" i="1" s="1"/>
  <c r="AP32" i="1"/>
  <c r="T32" i="1"/>
  <c r="J32" i="1"/>
  <c r="H32" i="1"/>
  <c r="G32" i="1"/>
  <c r="F32" i="1"/>
  <c r="AP31" i="1"/>
  <c r="T31" i="1"/>
  <c r="J31" i="1"/>
  <c r="G31" i="1"/>
  <c r="F31" i="1"/>
  <c r="H31" i="1" s="1"/>
  <c r="AP30" i="1"/>
  <c r="T30" i="1"/>
  <c r="J30" i="1"/>
  <c r="H30" i="1"/>
  <c r="G30" i="1"/>
  <c r="F30" i="1"/>
  <c r="AP29" i="1"/>
  <c r="T29" i="1"/>
  <c r="J29" i="1"/>
  <c r="G29" i="1"/>
  <c r="F29" i="1"/>
  <c r="AP28" i="1"/>
  <c r="T28" i="1"/>
  <c r="J28" i="1"/>
  <c r="H28" i="1"/>
  <c r="G28" i="1"/>
  <c r="F28" i="1"/>
  <c r="AP27" i="1"/>
  <c r="T27" i="1"/>
  <c r="J27" i="1"/>
  <c r="G27" i="1"/>
  <c r="F27" i="1"/>
  <c r="H27" i="1" s="1"/>
  <c r="AP26" i="1"/>
  <c r="T26" i="1"/>
  <c r="J26" i="1"/>
  <c r="G26" i="1"/>
  <c r="H26" i="1" s="1"/>
  <c r="F26" i="1"/>
  <c r="AP25" i="1"/>
  <c r="T25" i="1"/>
  <c r="J25" i="1"/>
  <c r="H25" i="1"/>
  <c r="G25" i="1"/>
  <c r="F25" i="1"/>
  <c r="AP24" i="1"/>
  <c r="T24" i="1"/>
  <c r="J24" i="1"/>
  <c r="G24" i="1"/>
  <c r="F24" i="1"/>
  <c r="H24" i="1" s="1"/>
  <c r="AP23" i="1"/>
  <c r="T23" i="1"/>
  <c r="J23" i="1"/>
  <c r="G23" i="1"/>
  <c r="F23" i="1"/>
  <c r="AP22" i="1"/>
  <c r="T22" i="1"/>
  <c r="J22" i="1"/>
  <c r="G22" i="1"/>
  <c r="F22" i="1"/>
  <c r="H22" i="1" s="1"/>
  <c r="AP21" i="1"/>
  <c r="T21" i="1"/>
  <c r="J21" i="1"/>
  <c r="G21" i="1"/>
  <c r="F21" i="1"/>
  <c r="AP20" i="1"/>
  <c r="T20" i="1"/>
  <c r="J20" i="1"/>
  <c r="G20" i="1"/>
  <c r="H20" i="1" s="1"/>
  <c r="F20" i="1"/>
  <c r="AP19" i="1"/>
  <c r="T19" i="1"/>
  <c r="J19" i="1"/>
  <c r="G19" i="1"/>
  <c r="F19" i="1"/>
  <c r="H19" i="1" s="1"/>
  <c r="AP18" i="1"/>
  <c r="T18" i="1"/>
  <c r="J18" i="1"/>
  <c r="G18" i="1"/>
  <c r="F18" i="1"/>
  <c r="H18" i="1" s="1"/>
  <c r="AP17" i="1"/>
  <c r="T17" i="1"/>
  <c r="J17" i="1"/>
  <c r="G17" i="1"/>
  <c r="F17" i="1"/>
  <c r="H17" i="1" s="1"/>
  <c r="AP16" i="1"/>
  <c r="T16" i="1"/>
  <c r="J16" i="1"/>
  <c r="H16" i="1"/>
  <c r="G16" i="1"/>
  <c r="F16" i="1"/>
  <c r="AP15" i="1"/>
  <c r="T15" i="1"/>
  <c r="J15" i="1"/>
  <c r="H15" i="1"/>
  <c r="G15" i="1"/>
  <c r="F15" i="1"/>
  <c r="AP14" i="1"/>
  <c r="T14" i="1"/>
  <c r="J14" i="1"/>
  <c r="G14" i="1"/>
  <c r="F14" i="1"/>
  <c r="H14" i="1" s="1"/>
  <c r="AP13" i="1"/>
  <c r="T13" i="1"/>
  <c r="J13" i="1"/>
  <c r="G13" i="1"/>
  <c r="H13" i="1" s="1"/>
  <c r="F13" i="1"/>
  <c r="AP12" i="1"/>
  <c r="T12" i="1"/>
  <c r="J12" i="1"/>
  <c r="H12" i="1"/>
  <c r="G12" i="1"/>
  <c r="F12" i="1"/>
  <c r="AP11" i="1"/>
  <c r="T11" i="1"/>
  <c r="J11" i="1"/>
  <c r="G11" i="1"/>
  <c r="F11" i="1"/>
  <c r="H11" i="1" s="1"/>
  <c r="AP10" i="1"/>
  <c r="T10" i="1"/>
  <c r="J10" i="1"/>
  <c r="G10" i="1"/>
  <c r="F10" i="1"/>
  <c r="H10" i="1" s="1"/>
  <c r="AP9" i="1"/>
  <c r="T9" i="1"/>
  <c r="J9" i="1"/>
  <c r="G9" i="1"/>
  <c r="F9" i="1"/>
  <c r="H9" i="1" s="1"/>
  <c r="AP8" i="1"/>
  <c r="T8" i="1"/>
  <c r="J8" i="1"/>
  <c r="H8" i="1"/>
  <c r="G8" i="1"/>
  <c r="F8" i="1"/>
  <c r="AP7" i="1"/>
  <c r="T7" i="1"/>
  <c r="J7" i="1"/>
  <c r="H7" i="1"/>
  <c r="G7" i="1"/>
  <c r="F7" i="1"/>
  <c r="AP6" i="1"/>
  <c r="T6" i="1"/>
  <c r="J6" i="1"/>
  <c r="G6" i="1"/>
  <c r="F6" i="1"/>
  <c r="H6" i="1" s="1"/>
  <c r="AP5" i="1"/>
  <c r="T5" i="1"/>
  <c r="J5" i="1"/>
  <c r="G5" i="1"/>
  <c r="F5" i="1"/>
  <c r="H5" i="1" s="1"/>
  <c r="AP4" i="1"/>
  <c r="T4" i="1"/>
  <c r="J4" i="1"/>
  <c r="G4" i="1"/>
  <c r="H4" i="1" s="1"/>
  <c r="F4" i="1"/>
  <c r="AP3" i="1"/>
  <c r="T3" i="1"/>
  <c r="J3" i="1"/>
  <c r="G3" i="1"/>
  <c r="F3" i="1"/>
  <c r="P27" i="2" l="1"/>
  <c r="M7" i="1"/>
  <c r="M41" i="1"/>
  <c r="I48" i="1"/>
  <c r="M10" i="1"/>
  <c r="M19" i="1"/>
  <c r="K28" i="1"/>
  <c r="K17" i="1"/>
  <c r="M35" i="1"/>
  <c r="K42" i="1"/>
  <c r="M55" i="1"/>
  <c r="M6" i="1"/>
  <c r="M21" i="1"/>
  <c r="K35" i="1"/>
  <c r="M43" i="1"/>
  <c r="G63" i="1"/>
  <c r="M62" i="1" s="1"/>
  <c r="M4" i="1"/>
  <c r="H29" i="1"/>
  <c r="M34" i="1"/>
  <c r="H43" i="1"/>
  <c r="K44" i="1"/>
  <c r="M33" i="1"/>
  <c r="H46" i="1"/>
  <c r="M46" i="1"/>
  <c r="H41" i="1"/>
  <c r="G64" i="1"/>
  <c r="M13" i="1"/>
  <c r="H23" i="1"/>
  <c r="I36" i="1" s="1"/>
  <c r="K24" i="1"/>
  <c r="K33" i="1"/>
  <c r="M61" i="1"/>
  <c r="M48" i="1"/>
  <c r="M17" i="1"/>
  <c r="M22" i="1"/>
  <c r="K32" i="1"/>
  <c r="H3" i="1"/>
  <c r="M31" i="1"/>
  <c r="J63" i="1"/>
  <c r="K13" i="1" s="1"/>
  <c r="M8" i="1"/>
  <c r="M30" i="1"/>
  <c r="H35" i="1"/>
  <c r="I35" i="1" s="1"/>
  <c r="M18" i="1"/>
  <c r="M38" i="1"/>
  <c r="H59" i="1"/>
  <c r="H58" i="1"/>
  <c r="I39" i="1" l="1"/>
  <c r="I24" i="1"/>
  <c r="I16" i="1"/>
  <c r="I11" i="1"/>
  <c r="I55" i="1"/>
  <c r="I42" i="1"/>
  <c r="K43" i="1"/>
  <c r="K40" i="1"/>
  <c r="K7" i="1"/>
  <c r="M9" i="1"/>
  <c r="M59" i="1"/>
  <c r="K55" i="1"/>
  <c r="I12" i="1"/>
  <c r="I13" i="1"/>
  <c r="K26" i="1"/>
  <c r="K41" i="1"/>
  <c r="I53" i="1"/>
  <c r="K39" i="1"/>
  <c r="K10" i="1"/>
  <c r="K19" i="1"/>
  <c r="I10" i="1"/>
  <c r="K62" i="1"/>
  <c r="M54" i="1"/>
  <c r="M50" i="1"/>
  <c r="M49" i="1"/>
  <c r="M40" i="1"/>
  <c r="M39" i="1"/>
  <c r="M25" i="1"/>
  <c r="M24" i="1"/>
  <c r="M51" i="1"/>
  <c r="M28" i="1"/>
  <c r="M27" i="1"/>
  <c r="M15" i="1"/>
  <c r="M14" i="1"/>
  <c r="M52" i="1"/>
  <c r="M3" i="1"/>
  <c r="N55" i="1" s="1"/>
  <c r="M56" i="1"/>
  <c r="N56" i="1" s="1"/>
  <c r="M47" i="1"/>
  <c r="M37" i="1"/>
  <c r="M36" i="1"/>
  <c r="M26" i="1"/>
  <c r="M12" i="1"/>
  <c r="M11" i="1"/>
  <c r="M44" i="1"/>
  <c r="K21" i="1"/>
  <c r="I33" i="1"/>
  <c r="M32" i="1"/>
  <c r="M23" i="1"/>
  <c r="M20" i="1"/>
  <c r="N20" i="1" s="1"/>
  <c r="I51" i="1"/>
  <c r="I28" i="1"/>
  <c r="I54" i="1"/>
  <c r="I3" i="1"/>
  <c r="I60" i="1"/>
  <c r="I21" i="1"/>
  <c r="I56" i="1"/>
  <c r="I44" i="1"/>
  <c r="I30" i="1"/>
  <c r="I8" i="1"/>
  <c r="I27" i="1"/>
  <c r="I57" i="1"/>
  <c r="K50" i="1"/>
  <c r="M58" i="1"/>
  <c r="M42" i="1"/>
  <c r="I31" i="1"/>
  <c r="I6" i="1"/>
  <c r="K16" i="1"/>
  <c r="M16" i="1"/>
  <c r="I20" i="1"/>
  <c r="I59" i="1"/>
  <c r="I32" i="1"/>
  <c r="K54" i="1"/>
  <c r="K48" i="1"/>
  <c r="M53" i="1"/>
  <c r="M57" i="1"/>
  <c r="K11" i="1"/>
  <c r="K56" i="1"/>
  <c r="I62" i="1"/>
  <c r="I22" i="1"/>
  <c r="M29" i="1"/>
  <c r="K14" i="1"/>
  <c r="I14" i="1"/>
  <c r="I52" i="1"/>
  <c r="I40" i="1"/>
  <c r="I5" i="1"/>
  <c r="I58" i="1"/>
  <c r="I25" i="1"/>
  <c r="I43" i="1"/>
  <c r="I45" i="1"/>
  <c r="N8" i="1"/>
  <c r="I23" i="1"/>
  <c r="I50" i="1"/>
  <c r="I47" i="1"/>
  <c r="K61" i="1"/>
  <c r="K18" i="1"/>
  <c r="K9" i="1"/>
  <c r="K4" i="1"/>
  <c r="K3" i="1"/>
  <c r="L28" i="1" s="1"/>
  <c r="K52" i="1"/>
  <c r="K30" i="1"/>
  <c r="K37" i="1"/>
  <c r="K49" i="1"/>
  <c r="K46" i="1"/>
  <c r="K25" i="1"/>
  <c r="K12" i="1"/>
  <c r="K34" i="1"/>
  <c r="K29" i="1"/>
  <c r="K51" i="1"/>
  <c r="K58" i="1"/>
  <c r="K53" i="1"/>
  <c r="K31" i="1"/>
  <c r="K22" i="1"/>
  <c r="K6" i="1"/>
  <c r="I61" i="1"/>
  <c r="K60" i="1"/>
  <c r="I29" i="1"/>
  <c r="I15" i="1"/>
  <c r="K38" i="1"/>
  <c r="K59" i="1"/>
  <c r="L59" i="1" s="1"/>
  <c r="K57" i="1"/>
  <c r="I46" i="1"/>
  <c r="K8" i="1"/>
  <c r="K27" i="1"/>
  <c r="I38" i="1"/>
  <c r="I41" i="1"/>
  <c r="I18" i="1"/>
  <c r="K23" i="1"/>
  <c r="I37" i="1"/>
  <c r="K20" i="1"/>
  <c r="I26" i="1"/>
  <c r="I49" i="1"/>
  <c r="I34" i="1"/>
  <c r="I9" i="1"/>
  <c r="I19" i="1"/>
  <c r="K36" i="1"/>
  <c r="K45" i="1"/>
  <c r="L45" i="1" s="1"/>
  <c r="M45" i="1"/>
  <c r="M5" i="1"/>
  <c r="K47" i="1"/>
  <c r="M60" i="1"/>
  <c r="I17" i="1"/>
  <c r="K15" i="1"/>
  <c r="K5" i="1"/>
  <c r="I7" i="1"/>
  <c r="I4" i="1"/>
  <c r="L58" i="1" l="1"/>
  <c r="N33" i="1"/>
  <c r="L9" i="1"/>
  <c r="N52" i="1"/>
  <c r="L41" i="1"/>
  <c r="N14" i="1"/>
  <c r="L21" i="1"/>
  <c r="L24" i="1"/>
  <c r="S24" i="1" s="1"/>
  <c r="N16" i="1"/>
  <c r="N44" i="1"/>
  <c r="N27" i="1"/>
  <c r="N61" i="1"/>
  <c r="N49" i="1"/>
  <c r="L36" i="1"/>
  <c r="N38" i="1"/>
  <c r="L32" i="1"/>
  <c r="S32" i="1" s="1"/>
  <c r="N3" i="1"/>
  <c r="N48" i="1"/>
  <c r="L34" i="1"/>
  <c r="S34" i="1" s="1"/>
  <c r="L61" i="1"/>
  <c r="S61" i="1" s="1"/>
  <c r="N29" i="1"/>
  <c r="L19" i="1"/>
  <c r="L35" i="1"/>
  <c r="N54" i="1"/>
  <c r="N35" i="1"/>
  <c r="L27" i="1"/>
  <c r="L46" i="1"/>
  <c r="S46" i="1" s="1"/>
  <c r="L56" i="1"/>
  <c r="S56" i="1" s="1"/>
  <c r="N12" i="1"/>
  <c r="N60" i="1"/>
  <c r="N6" i="1"/>
  <c r="L49" i="1"/>
  <c r="S49" i="1" s="1"/>
  <c r="N34" i="1"/>
  <c r="L11" i="1"/>
  <c r="S11" i="1" s="1"/>
  <c r="N26" i="1"/>
  <c r="N24" i="1"/>
  <c r="L39" i="1"/>
  <c r="N9" i="1"/>
  <c r="L3" i="1"/>
  <c r="S3" i="1" s="1"/>
  <c r="L33" i="1"/>
  <c r="S33" i="1" s="1"/>
  <c r="L54" i="1"/>
  <c r="S54" i="1" s="1"/>
  <c r="L25" i="1"/>
  <c r="L16" i="1"/>
  <c r="S16" i="1" s="1"/>
  <c r="N13" i="1"/>
  <c r="N30" i="1"/>
  <c r="L10" i="1"/>
  <c r="L8" i="1"/>
  <c r="S8" i="1" s="1"/>
  <c r="L6" i="1"/>
  <c r="L37" i="1"/>
  <c r="N57" i="1"/>
  <c r="N42" i="1"/>
  <c r="N36" i="1"/>
  <c r="N25" i="1"/>
  <c r="N10" i="1"/>
  <c r="L7" i="1"/>
  <c r="S7" i="1" s="1"/>
  <c r="N41" i="1"/>
  <c r="N23" i="1"/>
  <c r="N50" i="1"/>
  <c r="N46" i="1"/>
  <c r="L38" i="1"/>
  <c r="N32" i="1"/>
  <c r="L29" i="1"/>
  <c r="S29" i="1" s="1"/>
  <c r="L18" i="1"/>
  <c r="S18" i="1" s="1"/>
  <c r="L14" i="1"/>
  <c r="S14" i="1" s="1"/>
  <c r="L17" i="1"/>
  <c r="S17" i="1" s="1"/>
  <c r="L62" i="1"/>
  <c r="L12" i="1"/>
  <c r="S12" i="1" s="1"/>
  <c r="L15" i="1"/>
  <c r="L60" i="1"/>
  <c r="S60" i="1" s="1"/>
  <c r="N7" i="1"/>
  <c r="N22" i="1"/>
  <c r="N11" i="1"/>
  <c r="N28" i="1"/>
  <c r="S28" i="1" s="1"/>
  <c r="L55" i="1"/>
  <c r="S55" i="1" s="1"/>
  <c r="N51" i="1"/>
  <c r="L20" i="1"/>
  <c r="S20" i="1" s="1"/>
  <c r="L47" i="1"/>
  <c r="S47" i="1" s="1"/>
  <c r="N5" i="1"/>
  <c r="L23" i="1"/>
  <c r="S23" i="1" s="1"/>
  <c r="N53" i="1"/>
  <c r="N58" i="1"/>
  <c r="L40" i="1"/>
  <c r="L53" i="1"/>
  <c r="N4" i="1"/>
  <c r="L4" i="1"/>
  <c r="S4" i="1" s="1"/>
  <c r="L51" i="1"/>
  <c r="N43" i="1"/>
  <c r="L26" i="1"/>
  <c r="S26" i="1" s="1"/>
  <c r="N21" i="1"/>
  <c r="N15" i="1"/>
  <c r="L44" i="1"/>
  <c r="S44" i="1" s="1"/>
  <c r="L5" i="1"/>
  <c r="N31" i="1"/>
  <c r="N59" i="1"/>
  <c r="S59" i="1" s="1"/>
  <c r="L22" i="1"/>
  <c r="S22" i="1" s="1"/>
  <c r="L30" i="1"/>
  <c r="N37" i="1"/>
  <c r="N39" i="1"/>
  <c r="N19" i="1"/>
  <c r="L13" i="1"/>
  <c r="S13" i="1" s="1"/>
  <c r="N45" i="1"/>
  <c r="S45" i="1" s="1"/>
  <c r="N18" i="1"/>
  <c r="L57" i="1"/>
  <c r="S57" i="1" s="1"/>
  <c r="L31" i="1"/>
  <c r="L52" i="1"/>
  <c r="S52" i="1" s="1"/>
  <c r="N17" i="1"/>
  <c r="L48" i="1"/>
  <c r="S48" i="1" s="1"/>
  <c r="L50" i="1"/>
  <c r="S50" i="1" s="1"/>
  <c r="N47" i="1"/>
  <c r="N40" i="1"/>
  <c r="L42" i="1"/>
  <c r="S42" i="1" s="1"/>
  <c r="L43" i="1"/>
  <c r="S43" i="1" s="1"/>
  <c r="N62" i="1"/>
  <c r="S19" i="1" l="1"/>
  <c r="S31" i="1"/>
  <c r="S5" i="1"/>
  <c r="S15" i="1"/>
  <c r="S62" i="1"/>
  <c r="S25" i="1"/>
  <c r="S21" i="1"/>
  <c r="S41" i="1"/>
  <c r="S51" i="1"/>
  <c r="S37" i="1"/>
  <c r="S27" i="1"/>
  <c r="S36" i="1"/>
  <c r="S9" i="1"/>
  <c r="S30" i="1"/>
  <c r="S38" i="1"/>
  <c r="S6" i="1"/>
  <c r="S39" i="1"/>
  <c r="S58" i="1"/>
  <c r="S53" i="1"/>
  <c r="S40" i="1"/>
  <c r="S10" i="1"/>
  <c r="S35" i="1"/>
</calcChain>
</file>

<file path=xl/sharedStrings.xml><?xml version="1.0" encoding="utf-8"?>
<sst xmlns="http://schemas.openxmlformats.org/spreadsheetml/2006/main" count="341" uniqueCount="272">
  <si>
    <t>URGENCY</t>
  </si>
  <si>
    <t>RTOs</t>
  </si>
  <si>
    <t>FY 2022-23</t>
  </si>
  <si>
    <t>FY 2023-24</t>
  </si>
  <si>
    <t>FY 2024-25</t>
  </si>
  <si>
    <t>FY 2025-26</t>
  </si>
  <si>
    <t>TOTAL EVs REGISTERED (FY 2022-26)</t>
  </si>
  <si>
    <t>VEHICLE REGISTRATIONS (All types) (FY 2022-26)</t>
  </si>
  <si>
    <t>EV PENETRATION (%ge)</t>
  </si>
  <si>
    <t>EV ADOPTION SCORE (/5)</t>
  </si>
  <si>
    <t>NO. OF TRANSACTIONS</t>
  </si>
  <si>
    <t>TRANSACTION %ge</t>
  </si>
  <si>
    <t>TRANSACTION SCORE (/5)</t>
  </si>
  <si>
    <t>%ge vehicle registrations RTO wise</t>
  </si>
  <si>
    <t>VEHICLE REG. SCORE (/5)</t>
  </si>
  <si>
    <t>TRANSIT (/5)</t>
  </si>
  <si>
    <t>TOURISM (/5)</t>
  </si>
  <si>
    <t>ADMINISTRATIVE IMP. (/5)</t>
  </si>
  <si>
    <t>GEOGRAPHIC LIMITATIONS (/5)</t>
  </si>
  <si>
    <t>CAPACITY (/10)</t>
  </si>
  <si>
    <t>URGENCY SCORE (/10)</t>
  </si>
  <si>
    <r>
      <rPr>
        <b/>
        <sz val="10"/>
        <color theme="1"/>
        <rFont val="Arial"/>
        <family val="2"/>
      </rPr>
      <t>PRIORITY</t>
    </r>
    <r>
      <rPr>
        <sz val="10"/>
        <color theme="1"/>
        <rFont val="Arial"/>
        <family val="2"/>
      </rPr>
      <t xml:space="preserve"> (Very high, high, low, very low)</t>
    </r>
  </si>
  <si>
    <t>DECISION</t>
  </si>
  <si>
    <t>No.of Vehicle Registrations (FY 2022-present)</t>
  </si>
  <si>
    <t>No. of Transactions</t>
  </si>
  <si>
    <t>Permits Issued</t>
  </si>
  <si>
    <t>ABU ROAD DTO - RJ38( 07-JAN-2019 )</t>
  </si>
  <si>
    <t>yes</t>
  </si>
  <si>
    <t>AJMER RTO - RJ1( 13-APR-2017 )</t>
  </si>
  <si>
    <t>ALWAR RTO - RJ2( 19-APR-2018 )</t>
  </si>
  <si>
    <t>35,99,726</t>
  </si>
  <si>
    <t>BALOTRA DTO - RJ39( 17-JUL-2019 )</t>
  </si>
  <si>
    <t>1,87,704</t>
  </si>
  <si>
    <t>6,57,072</t>
  </si>
  <si>
    <t>BANSWARA DTO - RJ3( 03-MAY-2018 )</t>
  </si>
  <si>
    <t>5,01,474</t>
  </si>
  <si>
    <t>12,61,924</t>
  </si>
  <si>
    <t>BARAN DTO - RJ28( 09-JAN-2018 )</t>
  </si>
  <si>
    <t>3,79,795</t>
  </si>
  <si>
    <t>11,84,283</t>
  </si>
  <si>
    <t>BARMER DTO - RJ4( 22-DEC-2017 )</t>
  </si>
  <si>
    <t>3,45,348</t>
  </si>
  <si>
    <t>12,70,297</t>
  </si>
  <si>
    <t>BEAWAR DTO - RJ36( 24-NOV-2017 )</t>
  </si>
  <si>
    <t>2,51,803</t>
  </si>
  <si>
    <t>10,11,161</t>
  </si>
  <si>
    <t>BHARATPUR RTO - RJ5( 12-JUL-2017 )</t>
  </si>
  <si>
    <t>5,60,282</t>
  </si>
  <si>
    <t>19,00,055</t>
  </si>
  <si>
    <t>BHILWARA DTO - RJ6( 28-JUN-2017 )</t>
  </si>
  <si>
    <t>7,08,614</t>
  </si>
  <si>
    <t>24,67,590</t>
  </si>
  <si>
    <t>BHINMAL DTO - RJ46( 23-JUL-2019 )</t>
  </si>
  <si>
    <t>2,09,882</t>
  </si>
  <si>
    <t>5,98,846</t>
  </si>
  <si>
    <t>BHIWARI DTO - RJ40( 06-FEB-2018 )</t>
  </si>
  <si>
    <t>1,62,400</t>
  </si>
  <si>
    <t>6,04,965</t>
  </si>
  <si>
    <t>BIKANER RTO - RJ7( 02-MAY-2017 )</t>
  </si>
  <si>
    <t>6,38,480</t>
  </si>
  <si>
    <t>26,62,264</t>
  </si>
  <si>
    <t>BUNDI DTO - RJ8( 19-DEC-2017 )</t>
  </si>
  <si>
    <t>3,67,333</t>
  </si>
  <si>
    <t>11,70,410</t>
  </si>
  <si>
    <t>CHITTORGARH RTO - RJ9( 08-NOV-2017 )</t>
  </si>
  <si>
    <t>6,33,091</t>
  </si>
  <si>
    <t>26,48,036</t>
  </si>
  <si>
    <t>CHOMU DTO - RJ41( 20-SEP-2017 )</t>
  </si>
  <si>
    <t>1,84,984</t>
  </si>
  <si>
    <t>7,59,028</t>
  </si>
  <si>
    <t>CHURU DTO - RJ10( 25-JAN-2018 )</t>
  </si>
  <si>
    <t>3,05,580</t>
  </si>
  <si>
    <t>12,37,305</t>
  </si>
  <si>
    <t>DAUSA RTO - RJ29( 20-SEP-2017 )</t>
  </si>
  <si>
    <t>4,51,457</t>
  </si>
  <si>
    <t>16,61,332</t>
  </si>
  <si>
    <t>DEEG DTO - RJ63( 24-JAN-2026 )</t>
  </si>
  <si>
    <t>DHOLPUR DTO - RJ11( 07-NOV-2017 )</t>
  </si>
  <si>
    <t>2,78,730</t>
  </si>
  <si>
    <t>12,01,736</t>
  </si>
  <si>
    <t>DIDWANA DTO - RJ37( 04-JUN-2018 )</t>
  </si>
  <si>
    <t>3,94,150</t>
  </si>
  <si>
    <t>15,61,472</t>
  </si>
  <si>
    <t>DUDU DTO - RJ47( 11-APR-2017 )</t>
  </si>
  <si>
    <t>1,35,735</t>
  </si>
  <si>
    <t>4,64,241</t>
  </si>
  <si>
    <t>DUNGARPUR DTO - RJ12( 27-SEP-2017 )</t>
  </si>
  <si>
    <t>3,77,985</t>
  </si>
  <si>
    <t>11,80,653</t>
  </si>
  <si>
    <t>HANUMANGARH DTO - RJ31( 30-APR-2018 )</t>
  </si>
  <si>
    <t>2,96,162</t>
  </si>
  <si>
    <t>11,94,008</t>
  </si>
  <si>
    <t>JAGATPURA, JAIPUR ARTO - RJ141( 20-DEC-2016 )</t>
  </si>
  <si>
    <t>2,53,846</t>
  </si>
  <si>
    <t>29,23,063</t>
  </si>
  <si>
    <t>1,46,076</t>
  </si>
  <si>
    <t>JAIPUR (FIRST) RTO - RJ14( 28-NOV-2016 )</t>
  </si>
  <si>
    <t>33,56,539</t>
  </si>
  <si>
    <t>82,39,807</t>
  </si>
  <si>
    <t>JAIPUR (SECOND) RTO - RJ59( 19-JAN-2023 )</t>
  </si>
  <si>
    <t>3,34,524</t>
  </si>
  <si>
    <t>11,48,825</t>
  </si>
  <si>
    <t>JAISALMER DTO - RJ15( 27-FEB-2018 )</t>
  </si>
  <si>
    <t>1,50,292</t>
  </si>
  <si>
    <t>6,29,168</t>
  </si>
  <si>
    <t>JALORE DTO - RJ16( 05-OCT-2017 )</t>
  </si>
  <si>
    <t>2,24,901</t>
  </si>
  <si>
    <t>7,91,104</t>
  </si>
  <si>
    <t>JHALAWAR DTO - RJ17( 09-JAN-2018 )</t>
  </si>
  <si>
    <t>3,98,669</t>
  </si>
  <si>
    <t>13,06,500</t>
  </si>
  <si>
    <t>JHUNJHUNU DTO - RJ18( 16-JAN-2018 )</t>
  </si>
  <si>
    <t>5,76,956</t>
  </si>
  <si>
    <t>21,50,547</t>
  </si>
  <si>
    <t>JODHPUR RTO - RJ19( 27-DEC-2017 )</t>
  </si>
  <si>
    <t>12,93,177</t>
  </si>
  <si>
    <t>45,21,870</t>
  </si>
  <si>
    <t>KAROLI DTO - RJ34( 16-JAN-2018 )</t>
  </si>
  <si>
    <t>2,84,196</t>
  </si>
  <si>
    <t>9,02,275</t>
  </si>
  <si>
    <t>KEKRI DTO - RJ48( 14-DEC-2017 )</t>
  </si>
  <si>
    <t>3,49,844</t>
  </si>
  <si>
    <t>KHETRI DTO - RJ53( 13-SEP-2018 )</t>
  </si>
  <si>
    <t>KISHANGARH DTO - RJ42( 20-FEB-2018 )</t>
  </si>
  <si>
    <t>1,36,870</t>
  </si>
  <si>
    <t>5,01,449</t>
  </si>
  <si>
    <t>KOTA RTO - RJ20( 06-JUN-2017 )</t>
  </si>
  <si>
    <t>7,34,380</t>
  </si>
  <si>
    <t>25,72,784</t>
  </si>
  <si>
    <t>KOTPUTALI DTO - RJ32( 20-SEP-2017 )</t>
  </si>
  <si>
    <t>2,01,246</t>
  </si>
  <si>
    <t>10,97,516</t>
  </si>
  <si>
    <t>NAGAUR DTO - RJ21( 07-NOV-2017 )</t>
  </si>
  <si>
    <t>5,68,536</t>
  </si>
  <si>
    <t>21,67,393</t>
  </si>
  <si>
    <t>NOHAR DTO - RJ49( 01-JUN-2018 )</t>
  </si>
  <si>
    <t>1,60,613</t>
  </si>
  <si>
    <t>6,14,233</t>
  </si>
  <si>
    <t>NOKHA DTO - RJ50( 07-FEB-2018 )</t>
  </si>
  <si>
    <t>4,23,485</t>
  </si>
  <si>
    <t>PALI RTO - RJ22( 10-APR-2018 )</t>
  </si>
  <si>
    <t>5,84,899</t>
  </si>
  <si>
    <t>20,93,094</t>
  </si>
  <si>
    <t>PHALODI DTO - RJ43( 12-SEP-2018 )</t>
  </si>
  <si>
    <t>1,25,300</t>
  </si>
  <si>
    <t>4,53,377</t>
  </si>
  <si>
    <t>PIPAR CITY DTO - RJ54( 17-AUG-2021 )</t>
  </si>
  <si>
    <t>POKHRAN DTO - RJ55( 17-AUG-2021 )</t>
  </si>
  <si>
    <t>PRATAPGARH DTO - RJ35( 07-NOV-2017 )</t>
  </si>
  <si>
    <t>2,13,557</t>
  </si>
  <si>
    <t>6,22,060</t>
  </si>
  <si>
    <t>RAJSAMAND DTO - RJ30( 27-AUG-2019 )</t>
  </si>
  <si>
    <t>3,44,323</t>
  </si>
  <si>
    <t>12,36,589</t>
  </si>
  <si>
    <t>RAMGANJMANDI DTO - RJ33( 22-FEB-2018 )</t>
  </si>
  <si>
    <t>1,15,106</t>
  </si>
  <si>
    <t>4,97,419</t>
  </si>
  <si>
    <t>SADULSHAHAR DTO - RJ56( 17-AUG-2021 )</t>
  </si>
  <si>
    <t>SAHAPURA (BHILWARA) DTO - RJ51( 16-FEB-2018 )</t>
  </si>
  <si>
    <t>1,78,915</t>
  </si>
  <si>
    <t>6,04,208</t>
  </si>
  <si>
    <t>SAHAPURA (JAIPUR) DTO - RJ52( 15-DEC-2017 )</t>
  </si>
  <si>
    <t>1,19,858</t>
  </si>
  <si>
    <t>5,86,993</t>
  </si>
  <si>
    <t>SALUMBAR DTO - RJ58( 10-OCT-2022 )</t>
  </si>
  <si>
    <t>SAWAI MADHOPUR DTO - RJ25( 19-JUL-2016 )</t>
  </si>
  <si>
    <t>3,53,899</t>
  </si>
  <si>
    <t>11,43,640</t>
  </si>
  <si>
    <t>SIKAR RTO - RJ23( 27-SEP-2017 )</t>
  </si>
  <si>
    <t>7,66,790</t>
  </si>
  <si>
    <t>30,01,731</t>
  </si>
  <si>
    <t>SIROHI DTO - RJ24( 27-FEB-2018 )</t>
  </si>
  <si>
    <t>1,85,264</t>
  </si>
  <si>
    <t>7,74,665</t>
  </si>
  <si>
    <t>SRI GANGANAGAR DTO - RJ13( 27-SEP-2017 )</t>
  </si>
  <si>
    <t>6,13,743</t>
  </si>
  <si>
    <t>20,91,517</t>
  </si>
  <si>
    <t>SUJANGARH DTO - RJ44( 16-FEB-2018 )</t>
  </si>
  <si>
    <t>1,31,111</t>
  </si>
  <si>
    <t>5,07,743</t>
  </si>
  <si>
    <t>SUMERPUR DTO - RJ57( 17-AUG-2021 )</t>
  </si>
  <si>
    <t>1,20,235</t>
  </si>
  <si>
    <t>TONK DTO - RJ26( 07-NOV-2017 )</t>
  </si>
  <si>
    <t>3,97,067</t>
  </si>
  <si>
    <t>13,13,829</t>
  </si>
  <si>
    <t>UDAIPUR RTO - RJ27( 06-JUN-2017 )</t>
  </si>
  <si>
    <t>10,84,700</t>
  </si>
  <si>
    <t>34,05,377</t>
  </si>
  <si>
    <t xml:space="preserve">Total Vehicles(of all types) registered in state = </t>
  </si>
  <si>
    <t xml:space="preserve">Total Transactions of state = </t>
  </si>
  <si>
    <t>(=0.2*transaction score+0.35*total vehicle score+0.45*EV adoption score)*2</t>
  </si>
  <si>
    <t>(=0.27*transit+0.27*tourism+0.27*administrative importance+0.19*geographic limitations)*2</t>
  </si>
  <si>
    <r>
      <rPr>
        <b/>
        <sz val="10"/>
        <color theme="1"/>
        <rFont val="Arial"/>
        <family val="2"/>
      </rPr>
      <t>CAPACITY</t>
    </r>
    <r>
      <rPr>
        <sz val="10"/>
        <color theme="1"/>
        <rFont val="Arial"/>
        <family val="2"/>
      </rPr>
      <t>: (0-1: Low), (1-3:  Moderate), (3-10: high)</t>
    </r>
  </si>
  <si>
    <t>Values based on the analysis of gaussian curve of capacity score</t>
  </si>
  <si>
    <t>Link to colab notebook: https://colab.research.google.com/drive/15HvxhMJRfq9rMz1vPPc-o9F233sXtGme?usp=sharing</t>
  </si>
  <si>
    <t>Sources: https://vahan.parivahan.gov.in/vahan4dashboard/, https://www.ceew.in/gfc/tools_and_dashboards/electric-mobility/state-and-category-monitor</t>
  </si>
  <si>
    <t>Urgency increases when more vehicles pass by, population concentration increases temporarily, the region is of strategic importance, like capital regions, and when geographical limitations apply.</t>
  </si>
  <si>
    <r>
      <rPr>
        <b/>
        <sz val="10"/>
        <color theme="1"/>
        <rFont val="Arial"/>
        <family val="2"/>
      </rPr>
      <t>Logic</t>
    </r>
    <r>
      <rPr>
        <sz val="10"/>
        <color theme="1"/>
        <rFont val="Arial"/>
        <family val="2"/>
      </rPr>
      <t xml:space="preserve">: The overall transactions depict economic activity of that particular RTO, vehicle ownership culture(a willingness to spend and adopt for change), urban movement, and in a way traffic density too. In short transactions depict how much "vehicle-active" a region is. Transactions may include license making and renewal costs, fitness and fitness renewal costs, permit transaction costs, etc. We can also the total no of vehicles (all types) registered in that region to show traffic density.   </t>
    </r>
  </si>
  <si>
    <t>Weight of geographic limitations may change according to the place as feasibility also has to be kept in mind.</t>
  </si>
  <si>
    <r>
      <rPr>
        <b/>
        <sz val="10"/>
        <color theme="1"/>
        <rFont val="Arial"/>
        <family val="2"/>
      </rPr>
      <t>URGENCY:</t>
    </r>
    <r>
      <rPr>
        <sz val="10"/>
        <color theme="1"/>
        <rFont val="Arial"/>
        <family val="2"/>
      </rPr>
      <t xml:space="preserve"> (0-4.8: Low), (4.8-7: Moderate), (7-10: high)</t>
    </r>
  </si>
  <si>
    <t>Values based on the analysis of gaussian curve of urgency score.</t>
  </si>
  <si>
    <r>
      <rPr>
        <b/>
        <sz val="10"/>
        <color theme="1"/>
        <rFont val="Arial"/>
        <family val="2"/>
      </rPr>
      <t>Assumptions</t>
    </r>
    <r>
      <rPr>
        <sz val="10"/>
        <color theme="1"/>
        <rFont val="Arial"/>
        <family val="2"/>
      </rPr>
      <t xml:space="preserve">: Most of the registered vehicles of an RTO run in that region only and constitute majority of traffic. </t>
    </r>
  </si>
  <si>
    <t>Heat map of current EV stations in Rajasthan</t>
  </si>
  <si>
    <t>Tool used: QGIS</t>
  </si>
  <si>
    <t>Heat map of RTO-wise total registered EVs</t>
  </si>
  <si>
    <r>
      <t xml:space="preserve">Data: </t>
    </r>
    <r>
      <rPr>
        <u/>
        <sz val="10"/>
        <color rgb="FF1155CC"/>
        <rFont val="Arial"/>
        <family val="2"/>
      </rPr>
      <t xml:space="preserve">https://ev.tatamotors.com/charging-locator.html
</t>
    </r>
    <r>
      <rPr>
        <sz val="10"/>
        <color rgb="FF000000"/>
        <rFont val="Arial"/>
        <family val="2"/>
        <scheme val="minor"/>
      </rPr>
      <t xml:space="preserve">https://www.mgmotor.co.in/tools/charger-locator
</t>
    </r>
    <r>
      <rPr>
        <u/>
        <sz val="10"/>
        <color rgb="FF1155CC"/>
        <rFont val="Arial"/>
        <family val="2"/>
      </rPr>
      <t>https://e-amrit.niti.gov.in/charging-station-locators</t>
    </r>
  </si>
  <si>
    <t>Objective: Minimise the number of EV charging stations while covering demand.</t>
  </si>
  <si>
    <t>This is a set covering problem.</t>
  </si>
  <si>
    <t>Location</t>
  </si>
  <si>
    <t>Population Score</t>
  </si>
  <si>
    <t>Tourism Score</t>
  </si>
  <si>
    <t>Transit Score</t>
  </si>
  <si>
    <t>Admin Score</t>
  </si>
  <si>
    <t>Existing EV Stations</t>
  </si>
  <si>
    <t>Demand Score</t>
  </si>
  <si>
    <t>Decision (Xi)</t>
  </si>
  <si>
    <t>Bikaner</t>
  </si>
  <si>
    <t>Decision variables</t>
  </si>
  <si>
    <t>Objective function- Max Z=∑(Demandi​×yi​)</t>
  </si>
  <si>
    <t>Nokha</t>
  </si>
  <si>
    <t>x(j)=1 if a station is built at location 
x(j)=0, otherwise</t>
  </si>
  <si>
    <t>Lunkaransar</t>
  </si>
  <si>
    <t>Kolayat</t>
  </si>
  <si>
    <t>Coverage constraints=</t>
  </si>
  <si>
    <t>Using the towns shown in your map:
Major nodes:
Bikaner
Nokha
Lunkaransar
Shri Kolayat
Chhattargarh
Khajuwala</t>
  </si>
  <si>
    <t>Khajuwala</t>
  </si>
  <si>
    <t>x1​+x2​+x3​+...+x24​≤5</t>
  </si>
  <si>
    <t>Chhattargarh</t>
  </si>
  <si>
    <t>Bhandasar</t>
  </si>
  <si>
    <t>We try to cover maximum total demand.</t>
  </si>
  <si>
    <t>Hathusar</t>
  </si>
  <si>
    <t>Jaitpura</t>
  </si>
  <si>
    <t>Sherpura</t>
  </si>
  <si>
    <t>Kapurisar</t>
  </si>
  <si>
    <t>Rajpura Hudan</t>
  </si>
  <si>
    <t>Sobhasar</t>
  </si>
  <si>
    <t>Bhairu Pavan</t>
  </si>
  <si>
    <t>Karnisar</t>
  </si>
  <si>
    <t>Jamsar</t>
  </si>
  <si>
    <t>Molaman</t>
  </si>
  <si>
    <t>Gersar</t>
  </si>
  <si>
    <t>Ghulam Aliwala</t>
  </si>
  <si>
    <t>Maruti</t>
  </si>
  <si>
    <t>Ranjitpura</t>
  </si>
  <si>
    <t>Devasar</t>
  </si>
  <si>
    <t>Motigarh</t>
  </si>
  <si>
    <t>Kumbhana</t>
  </si>
  <si>
    <t>summation(aijxj)&gt;=1</t>
  </si>
  <si>
    <t>where aij =1 if location 𝑗 can cover demand node 𝑖</t>
  </si>
  <si>
    <t>Coverage matrix- This tells us which station can serve which town.</t>
  </si>
  <si>
    <t>Total stations used</t>
  </si>
  <si>
    <t>Demand Location</t>
  </si>
  <si>
    <t>Coverage column</t>
  </si>
  <si>
    <t>Create demand score for every sub-town</t>
  </si>
  <si>
    <t>Define Demand Variable</t>
  </si>
  <si>
    <t>Let yi=1, if location i is covered</t>
  </si>
  <si>
    <t>0, otherwise</t>
  </si>
  <si>
    <t>x1 = station in Bikaner
x2 = station in Nokha
x3 = station in Lunkaransar
x4 = station in Kolayat
x5 = station in Khajuwala
x6 = station in Chhattargarh</t>
  </si>
  <si>
    <t>For Bikaner demand node: x1 + x2 + x3 + x4 ≥ 1</t>
  </si>
  <si>
    <t>Minimize = x1 + x2 + x3 + x4 + x5 + x6</t>
  </si>
  <si>
    <t>Vehicle Type</t>
  </si>
  <si>
    <t>Range (in kms)</t>
  </si>
  <si>
    <t>Daily usage (in kms)</t>
  </si>
  <si>
    <t>Charging frequency (f) (/day)</t>
  </si>
  <si>
    <t>2-wheelers</t>
  </si>
  <si>
    <t>3-wheelers (cargo)</t>
  </si>
  <si>
    <t>3-wheelers (passenger)</t>
  </si>
  <si>
    <t>Cars</t>
  </si>
  <si>
    <t>Buses</t>
  </si>
  <si>
    <t>4-wheeler small commercial vehicle</t>
  </si>
  <si>
    <t>4-wheeler cargo</t>
  </si>
  <si>
    <t>Range/daily usage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</si>
</sst>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0"/>
      <color rgb="FF000000"/>
      <name val="Arial"/>
      <scheme val="minor"/>
    </font>
    <font>
      <sz val="10"/>
      <color theme="1"/>
      <name val="Arial"/>
      <family val="2"/>
      <scheme val="minor"/>
    </font>
    <font>
      <b/>
      <sz val="10"/>
      <color theme="1"/>
      <name val="Arial"/>
      <family val="2"/>
      <scheme val="minor"/>
    </font>
    <font>
      <sz val="10"/>
      <color rgb="FF363636"/>
      <name val="Arial"/>
      <family val="2"/>
    </font>
    <font>
      <u/>
      <sz val="10"/>
      <color rgb="FF0000FF"/>
      <name val="Arial"/>
      <family val="2"/>
    </font>
    <font>
      <sz val="10"/>
      <color rgb="FF1D5987"/>
      <name val="Arial"/>
      <family val="2"/>
    </font>
    <font>
      <b/>
      <sz val="10"/>
      <color theme="1"/>
      <name val="Arial"/>
      <family val="2"/>
    </font>
    <font>
      <sz val="10"/>
      <color theme="1"/>
      <name val="Arial"/>
      <family val="2"/>
    </font>
    <font>
      <u/>
      <sz val="10"/>
      <color rgb="FF1155CC"/>
      <name val="Arial"/>
      <family val="2"/>
    </font>
    <font>
      <b/>
      <sz val="10"/>
      <color rgb="FF000000"/>
      <name val="Arial"/>
      <family val="2"/>
      <scheme val="minor"/>
    </font>
    <font>
      <sz val="10"/>
      <color rgb="FF000000"/>
      <name val="Arial"/>
      <family val="2"/>
      <scheme val="minor"/>
    </font>
    <font>
      <sz val="10"/>
      <color rgb="FF000000"/>
      <name val="Arial Unicode MS"/>
      <family val="2"/>
    </font>
  </fonts>
  <fills count="4">
    <fill>
      <patternFill patternType="none"/>
    </fill>
    <fill>
      <patternFill patternType="gray125"/>
    </fill>
    <fill>
      <patternFill patternType="solid">
        <fgColor rgb="FFFFFF00"/>
        <bgColor rgb="FFFFFF00"/>
      </patternFill>
    </fill>
    <fill>
      <patternFill patternType="solid">
        <fgColor rgb="FFFFFF00"/>
        <bgColor indexed="64"/>
      </patternFill>
    </fill>
  </fills>
  <borders count="1">
    <border>
      <left/>
      <right/>
      <top/>
      <bottom/>
      <diagonal/>
    </border>
  </borders>
  <cellStyleXfs count="1">
    <xf numFmtId="0" fontId="0" fillId="0" borderId="0"/>
  </cellStyleXfs>
  <cellXfs count="23">
    <xf numFmtId="0" fontId="0" fillId="0" borderId="0" xfId="0"/>
    <xf numFmtId="0" fontId="1" fillId="0" borderId="0" xfId="0" applyFont="1"/>
    <xf numFmtId="1" fontId="1" fillId="0" borderId="0" xfId="0" applyNumberFormat="1" applyFont="1"/>
    <xf numFmtId="0" fontId="2" fillId="0" borderId="0" xfId="0" applyFont="1"/>
    <xf numFmtId="1" fontId="2" fillId="0" borderId="0" xfId="0" applyNumberFormat="1" applyFont="1"/>
    <xf numFmtId="0" fontId="2" fillId="0" borderId="0" xfId="0" applyFont="1" applyAlignment="1">
      <alignment wrapText="1"/>
    </xf>
    <xf numFmtId="0" fontId="3" fillId="0" borderId="0" xfId="0" applyFont="1" applyAlignment="1">
      <alignment horizontal="left"/>
    </xf>
    <xf numFmtId="2" fontId="1" fillId="0" borderId="0" xfId="0" applyNumberFormat="1" applyFont="1"/>
    <xf numFmtId="3" fontId="1" fillId="0" borderId="0" xfId="0" applyNumberFormat="1" applyFont="1"/>
    <xf numFmtId="0" fontId="1" fillId="0" borderId="0" xfId="0" applyFont="1" applyAlignment="1">
      <alignment wrapText="1"/>
    </xf>
    <xf numFmtId="0" fontId="4" fillId="0" borderId="0" xfId="0" applyFont="1" applyAlignment="1">
      <alignment wrapText="1"/>
    </xf>
    <xf numFmtId="0" fontId="5" fillId="0" borderId="0" xfId="0" applyFont="1" applyAlignment="1">
      <alignment horizontal="left"/>
    </xf>
    <xf numFmtId="0" fontId="2" fillId="0" borderId="0" xfId="0" applyFont="1" applyAlignment="1">
      <alignment horizontal="center"/>
    </xf>
    <xf numFmtId="0" fontId="2" fillId="2" borderId="0" xfId="0" applyFont="1" applyFill="1"/>
    <xf numFmtId="0" fontId="2" fillId="2" borderId="0" xfId="0" applyFont="1" applyFill="1" applyAlignment="1">
      <alignment wrapText="1"/>
    </xf>
    <xf numFmtId="0" fontId="9" fillId="0" borderId="0" xfId="0" applyFont="1" applyAlignment="1">
      <alignment horizontal="center" vertical="center" wrapText="1"/>
    </xf>
    <xf numFmtId="0" fontId="0" fillId="0" borderId="0" xfId="0" applyAlignment="1">
      <alignment vertical="center" wrapText="1"/>
    </xf>
    <xf numFmtId="0" fontId="0" fillId="0" borderId="0" xfId="0" applyAlignment="1">
      <alignment vertical="center"/>
    </xf>
    <xf numFmtId="0" fontId="0" fillId="0" borderId="0" xfId="0" applyAlignment="1">
      <alignment wrapText="1"/>
    </xf>
    <xf numFmtId="0" fontId="10" fillId="0" borderId="0" xfId="0" applyFont="1"/>
    <xf numFmtId="0" fontId="11" fillId="0" borderId="0" xfId="0" applyFont="1" applyAlignment="1">
      <alignment vertical="center"/>
    </xf>
    <xf numFmtId="0" fontId="4" fillId="0" borderId="0" xfId="0" applyFont="1"/>
    <xf numFmtId="0" fontId="9"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0</xdr:col>
      <xdr:colOff>0</xdr:colOff>
      <xdr:row>64</xdr:row>
      <xdr:rowOff>114300</xdr:rowOff>
    </xdr:from>
    <xdr:ext cx="3829050" cy="3648075"/>
    <xdr:pic>
      <xdr:nvPicPr>
        <xdr:cNvPr id="2" name="image1.jp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371475</xdr:colOff>
      <xdr:row>65</xdr:row>
      <xdr:rowOff>85725</xdr:rowOff>
    </xdr:from>
    <xdr:ext cx="5010150" cy="3171825"/>
    <xdr:pic>
      <xdr:nvPicPr>
        <xdr:cNvPr id="3" name="image2.jp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ev.tatamotors.com/charging-locator.html" TargetMode="External"/><Relationship Id="rId1" Type="http://schemas.openxmlformats.org/officeDocument/2006/relationships/hyperlink" Target="https://colab.research.google.com/drive/15HvxhMJRfq9rMz1vPPc-o9F233sXtGme?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P919"/>
  <sheetViews>
    <sheetView workbookViewId="0"/>
  </sheetViews>
  <sheetFormatPr defaultColWidth="12.5703125" defaultRowHeight="15.75" customHeight="1"/>
  <cols>
    <col min="1" max="1" width="46.28515625" customWidth="1"/>
    <col min="2" max="2" width="9.85546875" customWidth="1"/>
    <col min="3" max="3" width="10" customWidth="1"/>
    <col min="4" max="4" width="9.7109375" customWidth="1"/>
    <col min="5" max="5" width="10.140625" customWidth="1"/>
    <col min="6" max="6" width="38.28515625" customWidth="1"/>
    <col min="7" max="7" width="41.7109375" customWidth="1"/>
    <col min="8" max="8" width="20.7109375" customWidth="1"/>
    <col min="9" max="9" width="26.28515625" customWidth="1"/>
    <col min="10" max="10" width="21.85546875" customWidth="1"/>
    <col min="11" max="11" width="17.85546875" customWidth="1"/>
    <col min="12" max="12" width="27.42578125" customWidth="1"/>
    <col min="13" max="13" width="28.140625" customWidth="1"/>
    <col min="14" max="14" width="23" customWidth="1"/>
    <col min="15" max="15" width="24.140625" customWidth="1"/>
    <col min="16" max="16" width="17.42578125" customWidth="1"/>
    <col min="17" max="17" width="21.7109375" customWidth="1"/>
    <col min="18" max="18" width="26.28515625" customWidth="1"/>
    <col min="19" max="19" width="39.42578125" customWidth="1"/>
    <col min="20" max="20" width="39.140625" customWidth="1"/>
    <col min="21" max="21" width="33.42578125" customWidth="1"/>
    <col min="22" max="22" width="23.42578125" customWidth="1"/>
    <col min="23" max="23" width="31.85546875" customWidth="1"/>
    <col min="24" max="24" width="24.7109375" customWidth="1"/>
    <col min="25" max="25" width="26.7109375" customWidth="1"/>
    <col min="38" max="38" width="18" customWidth="1"/>
    <col min="40" max="40" width="12.42578125" customWidth="1"/>
    <col min="42" max="42" width="12" customWidth="1"/>
  </cols>
  <sheetData>
    <row r="1" spans="1:42" ht="12.95">
      <c r="A1" s="1"/>
      <c r="C1" s="1"/>
      <c r="D1" s="1"/>
      <c r="E1" s="1"/>
      <c r="F1" s="1"/>
      <c r="J1" s="2"/>
      <c r="K1" s="2"/>
      <c r="L1" s="2"/>
      <c r="M1" s="2"/>
      <c r="N1" s="2"/>
      <c r="O1" s="3" t="s">
        <v>0</v>
      </c>
      <c r="Q1" s="1"/>
      <c r="R1" s="1"/>
      <c r="T1" s="1"/>
      <c r="AN1" s="2"/>
    </row>
    <row r="2" spans="1:42" ht="26.1">
      <c r="A2" s="3" t="s">
        <v>1</v>
      </c>
      <c r="B2" s="3" t="s">
        <v>2</v>
      </c>
      <c r="C2" s="3" t="s">
        <v>3</v>
      </c>
      <c r="D2" s="3" t="s">
        <v>4</v>
      </c>
      <c r="E2" s="3" t="s">
        <v>5</v>
      </c>
      <c r="F2" s="3" t="s">
        <v>6</v>
      </c>
      <c r="G2" s="3" t="s">
        <v>7</v>
      </c>
      <c r="H2" s="3" t="s">
        <v>8</v>
      </c>
      <c r="I2" s="3" t="s">
        <v>9</v>
      </c>
      <c r="J2" s="4" t="s">
        <v>10</v>
      </c>
      <c r="K2" s="4" t="s">
        <v>11</v>
      </c>
      <c r="L2" s="4" t="s">
        <v>12</v>
      </c>
      <c r="M2" s="2" t="s">
        <v>13</v>
      </c>
      <c r="N2" s="4" t="s">
        <v>14</v>
      </c>
      <c r="O2" s="1" t="s">
        <v>15</v>
      </c>
      <c r="P2" s="1" t="s">
        <v>16</v>
      </c>
      <c r="Q2" s="1" t="s">
        <v>17</v>
      </c>
      <c r="R2" s="1" t="s">
        <v>18</v>
      </c>
      <c r="S2" s="3" t="s">
        <v>19</v>
      </c>
      <c r="T2" s="3" t="s">
        <v>20</v>
      </c>
      <c r="U2" s="5" t="s">
        <v>21</v>
      </c>
      <c r="V2" s="3" t="s">
        <v>22</v>
      </c>
      <c r="AL2" s="1" t="s">
        <v>23</v>
      </c>
      <c r="AN2" s="2" t="s">
        <v>24</v>
      </c>
      <c r="AO2" s="1" t="s">
        <v>25</v>
      </c>
      <c r="AP2" s="1" t="s">
        <v>25</v>
      </c>
    </row>
    <row r="3" spans="1:42" ht="15.75" customHeight="1">
      <c r="A3" s="6" t="s">
        <v>26</v>
      </c>
      <c r="B3" s="1">
        <v>540</v>
      </c>
      <c r="C3" s="1">
        <v>650</v>
      </c>
      <c r="D3" s="1">
        <v>780</v>
      </c>
      <c r="E3" s="1">
        <v>910</v>
      </c>
      <c r="F3" s="1">
        <f t="shared" ref="F3:F62" si="0">SUM(B3:E3)</f>
        <v>2880</v>
      </c>
      <c r="G3" s="1">
        <f t="shared" ref="G3:G62" si="1">VALUE(SUBSTITUTE(AL3,",",""))</f>
        <v>102008</v>
      </c>
      <c r="H3" s="1">
        <f t="shared" ref="H3:H20" si="2">(F3/G3)*100</f>
        <v>2.8233079758450317</v>
      </c>
      <c r="I3" s="1">
        <f t="shared" ref="I3:I62" si="3">ROUND((H3-MIN($H$3:$H$62))/(MAX($H$3:$H$62)-MIN($H$3:$H$62))*5,2)</f>
        <v>0.97</v>
      </c>
      <c r="J3" s="2">
        <f t="shared" ref="J3:J62" si="4">VALUE(SUBSTITUTE(AN3,",",""))</f>
        <v>445181</v>
      </c>
      <c r="K3" s="7">
        <f t="shared" ref="K3:K62" si="5">(J3/$J$63)*100</f>
        <v>0.53930941123458043</v>
      </c>
      <c r="L3" s="7">
        <f t="shared" ref="L3:L62" si="6">(K3-MIN($K$3:$K$62))/(MAX($K$3:$K$62)-MIN($K$3:$K$62))*5</f>
        <v>0.27014042926005427</v>
      </c>
      <c r="M3" s="7">
        <f t="shared" ref="M3:M62" si="7">(G3/$G$63)*100</f>
        <v>0.43550241210991114</v>
      </c>
      <c r="N3" s="7">
        <f t="shared" ref="N3:N62" si="8">(M3-MIN($M$3:$M$62))/(MAX($M$3:$M$62)-MIN($M$3:$M$62))*5</f>
        <v>0.15195414085759171</v>
      </c>
      <c r="O3" s="1">
        <v>4</v>
      </c>
      <c r="P3" s="1">
        <v>5</v>
      </c>
      <c r="Q3" s="1">
        <v>3</v>
      </c>
      <c r="R3" s="1">
        <v>3</v>
      </c>
      <c r="S3" s="1">
        <f t="shared" ref="S3:S62" si="9">(0.2*L3+0.35*N3+0.45*I3)*2</f>
        <v>1.0874240703043359</v>
      </c>
      <c r="T3" s="1">
        <f t="shared" ref="T3:T62" si="10">(0.27*O3+0.27*P3+0.27*Q3+0.19*R3)*2</f>
        <v>7.620000000000001</v>
      </c>
      <c r="U3" s="1" t="str">
        <f t="shared" ref="U3:U34" si="11">_xlfn.IFS(AND(S3 &gt; 3, T3 &gt; 7), "high", AND(S3 &gt; 1, S3 &lt; 3, T3 &gt; 7), "Very high", AND(S3 &gt; 3, T3 &gt; 4.8, T3 &lt; 7), "low", AND(S3 &gt; 1, S3 &lt; 3, T3 &gt; 4.8, T3 &lt; 7), "Very high", AND(S3 &gt; 1, S3 &lt; 3, T3 &lt; 4.8), "low", AND(S3 &gt; 3, T3 &lt; 4.8), "low", TRUE, "Very low")</f>
        <v>Very high</v>
      </c>
      <c r="V3" s="1" t="s">
        <v>27</v>
      </c>
      <c r="AL3" s="1">
        <v>102008</v>
      </c>
      <c r="AN3" s="2">
        <v>445181</v>
      </c>
      <c r="AO3" s="1">
        <v>8527</v>
      </c>
      <c r="AP3" s="1">
        <f t="shared" ref="AP3:AP62" si="12">VALUE(SUBSTITUTE(AO3,",",""))</f>
        <v>8527</v>
      </c>
    </row>
    <row r="4" spans="1:42" ht="15.75" customHeight="1">
      <c r="A4" s="6" t="s">
        <v>28</v>
      </c>
      <c r="B4" s="1">
        <v>5081</v>
      </c>
      <c r="C4" s="1">
        <v>4662</v>
      </c>
      <c r="D4" s="1">
        <v>4404</v>
      </c>
      <c r="E4" s="1">
        <v>3673</v>
      </c>
      <c r="F4" s="1">
        <f t="shared" si="0"/>
        <v>17820</v>
      </c>
      <c r="G4" s="1">
        <f t="shared" si="1"/>
        <v>616295</v>
      </c>
      <c r="H4" s="1">
        <f t="shared" si="2"/>
        <v>2.8914724279768618</v>
      </c>
      <c r="I4" s="1">
        <f t="shared" si="3"/>
        <v>1</v>
      </c>
      <c r="J4" s="2">
        <f t="shared" si="4"/>
        <v>2666374</v>
      </c>
      <c r="K4" s="7">
        <f t="shared" si="5"/>
        <v>3.2301481691069318</v>
      </c>
      <c r="L4" s="7">
        <f t="shared" si="6"/>
        <v>1.617983285288114</v>
      </c>
      <c r="M4" s="7">
        <f t="shared" si="7"/>
        <v>2.6311461755085652</v>
      </c>
      <c r="N4" s="7">
        <f t="shared" si="8"/>
        <v>0.91805130224913234</v>
      </c>
      <c r="O4" s="1">
        <v>5</v>
      </c>
      <c r="P4" s="1">
        <v>5</v>
      </c>
      <c r="Q4" s="1">
        <v>4</v>
      </c>
      <c r="R4" s="1">
        <v>2</v>
      </c>
      <c r="S4" s="1">
        <f t="shared" si="9"/>
        <v>2.1898292256896381</v>
      </c>
      <c r="T4" s="1">
        <f t="shared" si="10"/>
        <v>8.32</v>
      </c>
      <c r="U4" s="1" t="str">
        <f t="shared" si="11"/>
        <v>Very high</v>
      </c>
      <c r="V4" s="1" t="s">
        <v>27</v>
      </c>
      <c r="AL4" s="1">
        <v>616295</v>
      </c>
      <c r="AN4" s="2">
        <v>2666374</v>
      </c>
      <c r="AO4" s="1">
        <v>42996</v>
      </c>
      <c r="AP4" s="1">
        <f t="shared" si="12"/>
        <v>42996</v>
      </c>
    </row>
    <row r="5" spans="1:42" ht="15.75" customHeight="1">
      <c r="A5" s="6" t="s">
        <v>29</v>
      </c>
      <c r="B5" s="1">
        <v>5711</v>
      </c>
      <c r="C5" s="1">
        <v>4583</v>
      </c>
      <c r="D5" s="1">
        <v>4812</v>
      </c>
      <c r="E5" s="1">
        <v>4136</v>
      </c>
      <c r="F5" s="1">
        <f t="shared" si="0"/>
        <v>19242</v>
      </c>
      <c r="G5" s="1">
        <f t="shared" si="1"/>
        <v>1065424</v>
      </c>
      <c r="H5" s="1">
        <f t="shared" si="2"/>
        <v>1.8060415383922268</v>
      </c>
      <c r="I5" s="1">
        <f t="shared" si="3"/>
        <v>0.62</v>
      </c>
      <c r="J5" s="2">
        <f t="shared" si="4"/>
        <v>3599726</v>
      </c>
      <c r="K5" s="7">
        <f t="shared" si="5"/>
        <v>4.3608467334989838</v>
      </c>
      <c r="L5" s="7">
        <f t="shared" si="6"/>
        <v>2.1843509198698463</v>
      </c>
      <c r="M5" s="7">
        <f t="shared" si="7"/>
        <v>4.5486111081463223</v>
      </c>
      <c r="N5" s="7">
        <f t="shared" si="8"/>
        <v>1.5870871752123248</v>
      </c>
      <c r="O5" s="1">
        <v>5</v>
      </c>
      <c r="P5" s="1">
        <v>3</v>
      </c>
      <c r="Q5" s="1">
        <v>4</v>
      </c>
      <c r="R5" s="1">
        <v>2</v>
      </c>
      <c r="S5" s="1">
        <f t="shared" si="9"/>
        <v>2.5427013905965659</v>
      </c>
      <c r="T5" s="1">
        <f t="shared" si="10"/>
        <v>7.24</v>
      </c>
      <c r="U5" s="1" t="str">
        <f t="shared" si="11"/>
        <v>Very high</v>
      </c>
      <c r="V5" s="1" t="s">
        <v>27</v>
      </c>
      <c r="AL5" s="1">
        <v>1065424</v>
      </c>
      <c r="AN5" s="2" t="s">
        <v>30</v>
      </c>
      <c r="AO5" s="8">
        <v>22893</v>
      </c>
      <c r="AP5" s="1">
        <f t="shared" si="12"/>
        <v>22893</v>
      </c>
    </row>
    <row r="6" spans="1:42" ht="15.75" customHeight="1">
      <c r="A6" s="6" t="s">
        <v>31</v>
      </c>
      <c r="B6" s="1">
        <v>480</v>
      </c>
      <c r="C6" s="1">
        <v>590</v>
      </c>
      <c r="D6" s="1">
        <v>710</v>
      </c>
      <c r="E6" s="1">
        <v>840</v>
      </c>
      <c r="F6" s="1">
        <f t="shared" si="0"/>
        <v>2620</v>
      </c>
      <c r="G6" s="1">
        <f t="shared" si="1"/>
        <v>187704</v>
      </c>
      <c r="H6" s="1">
        <f t="shared" si="2"/>
        <v>1.3958146869539274</v>
      </c>
      <c r="I6" s="1">
        <f t="shared" si="3"/>
        <v>0.48</v>
      </c>
      <c r="J6" s="2">
        <f t="shared" si="4"/>
        <v>657072</v>
      </c>
      <c r="K6" s="7">
        <f t="shared" si="5"/>
        <v>0.79600233042004986</v>
      </c>
      <c r="L6" s="7">
        <f t="shared" si="6"/>
        <v>0.39871807677048743</v>
      </c>
      <c r="M6" s="7">
        <f t="shared" si="7"/>
        <v>0.8013640573550973</v>
      </c>
      <c r="N6" s="7">
        <f t="shared" si="8"/>
        <v>0.27960944294107715</v>
      </c>
      <c r="O6" s="1">
        <v>3</v>
      </c>
      <c r="P6" s="1">
        <v>2</v>
      </c>
      <c r="Q6" s="1">
        <v>3</v>
      </c>
      <c r="R6" s="1">
        <v>4</v>
      </c>
      <c r="S6" s="1">
        <f t="shared" si="9"/>
        <v>0.78721384076694889</v>
      </c>
      <c r="T6" s="1">
        <f t="shared" si="10"/>
        <v>5.84</v>
      </c>
      <c r="U6" s="1" t="str">
        <f t="shared" si="11"/>
        <v>Very low</v>
      </c>
      <c r="AL6" s="1" t="s">
        <v>32</v>
      </c>
      <c r="AN6" s="2" t="s">
        <v>33</v>
      </c>
      <c r="AO6" s="8">
        <v>7437</v>
      </c>
      <c r="AP6" s="1">
        <f t="shared" si="12"/>
        <v>7437</v>
      </c>
    </row>
    <row r="7" spans="1:42" ht="15.75" customHeight="1">
      <c r="A7" s="6" t="s">
        <v>34</v>
      </c>
      <c r="B7" s="1">
        <v>890</v>
      </c>
      <c r="C7" s="1">
        <v>1085</v>
      </c>
      <c r="D7" s="1">
        <v>1280</v>
      </c>
      <c r="E7" s="1">
        <v>1505</v>
      </c>
      <c r="F7" s="1">
        <f t="shared" si="0"/>
        <v>4760</v>
      </c>
      <c r="G7" s="1">
        <f t="shared" si="1"/>
        <v>501474</v>
      </c>
      <c r="H7" s="1">
        <f t="shared" si="2"/>
        <v>0.9492017532314736</v>
      </c>
      <c r="I7" s="1">
        <f t="shared" si="3"/>
        <v>0.33</v>
      </c>
      <c r="J7" s="2">
        <f t="shared" si="4"/>
        <v>1261924</v>
      </c>
      <c r="K7" s="7">
        <f t="shared" si="5"/>
        <v>1.5287433413887532</v>
      </c>
      <c r="L7" s="7">
        <f t="shared" si="6"/>
        <v>0.76574851813883482</v>
      </c>
      <c r="M7" s="7">
        <f t="shared" si="7"/>
        <v>2.1409412654929572</v>
      </c>
      <c r="N7" s="7">
        <f t="shared" si="8"/>
        <v>0.74701053674633311</v>
      </c>
      <c r="O7" s="1">
        <v>2</v>
      </c>
      <c r="P7" s="1">
        <v>2</v>
      </c>
      <c r="Q7" s="1">
        <v>2</v>
      </c>
      <c r="R7" s="1">
        <v>3</v>
      </c>
      <c r="S7" s="1">
        <f t="shared" si="9"/>
        <v>1.1262067829779672</v>
      </c>
      <c r="T7" s="1">
        <f t="shared" si="10"/>
        <v>4.3800000000000008</v>
      </c>
      <c r="U7" s="1" t="str">
        <f t="shared" si="11"/>
        <v>low</v>
      </c>
      <c r="AL7" s="1" t="s">
        <v>35</v>
      </c>
      <c r="AN7" s="2" t="s">
        <v>36</v>
      </c>
      <c r="AO7" s="8">
        <v>10048</v>
      </c>
      <c r="AP7" s="1">
        <f t="shared" si="12"/>
        <v>10048</v>
      </c>
    </row>
    <row r="8" spans="1:42" ht="15.75" customHeight="1">
      <c r="A8" s="6" t="s">
        <v>37</v>
      </c>
      <c r="B8" s="1">
        <v>760</v>
      </c>
      <c r="C8" s="1">
        <v>930</v>
      </c>
      <c r="D8" s="1">
        <v>1100</v>
      </c>
      <c r="E8" s="1">
        <v>1270</v>
      </c>
      <c r="F8" s="1">
        <f t="shared" si="0"/>
        <v>4060</v>
      </c>
      <c r="G8" s="1">
        <f t="shared" si="1"/>
        <v>379795</v>
      </c>
      <c r="H8" s="1">
        <f t="shared" si="2"/>
        <v>1.0689977487855291</v>
      </c>
      <c r="I8" s="1">
        <f t="shared" si="3"/>
        <v>0.37</v>
      </c>
      <c r="J8" s="2">
        <f t="shared" si="4"/>
        <v>1184283</v>
      </c>
      <c r="K8" s="7">
        <f t="shared" si="5"/>
        <v>1.4346860433511819</v>
      </c>
      <c r="L8" s="7">
        <f t="shared" si="6"/>
        <v>0.71863515735259331</v>
      </c>
      <c r="M8" s="7">
        <f t="shared" si="7"/>
        <v>1.6214575190895193</v>
      </c>
      <c r="N8" s="7">
        <f t="shared" si="8"/>
        <v>0.56575389113607799</v>
      </c>
      <c r="O8" s="1">
        <v>2</v>
      </c>
      <c r="P8" s="1">
        <v>2</v>
      </c>
      <c r="Q8" s="1">
        <v>2</v>
      </c>
      <c r="R8" s="1">
        <v>3</v>
      </c>
      <c r="S8" s="1">
        <f t="shared" si="9"/>
        <v>1.0164817867362919</v>
      </c>
      <c r="T8" s="1">
        <f t="shared" si="10"/>
        <v>4.3800000000000008</v>
      </c>
      <c r="U8" s="1" t="str">
        <f t="shared" si="11"/>
        <v>low</v>
      </c>
      <c r="AL8" s="1" t="s">
        <v>38</v>
      </c>
      <c r="AN8" s="2" t="s">
        <v>39</v>
      </c>
      <c r="AO8" s="8">
        <v>11852</v>
      </c>
      <c r="AP8" s="1">
        <f t="shared" si="12"/>
        <v>11852</v>
      </c>
    </row>
    <row r="9" spans="1:42" ht="15.75" customHeight="1">
      <c r="A9" s="6" t="s">
        <v>40</v>
      </c>
      <c r="B9" s="1">
        <v>980</v>
      </c>
      <c r="C9" s="1">
        <v>1200</v>
      </c>
      <c r="D9" s="1">
        <v>1420</v>
      </c>
      <c r="E9" s="1">
        <v>1650</v>
      </c>
      <c r="F9" s="1">
        <f t="shared" si="0"/>
        <v>5250</v>
      </c>
      <c r="G9" s="1">
        <f t="shared" si="1"/>
        <v>345348</v>
      </c>
      <c r="H9" s="1">
        <f t="shared" si="2"/>
        <v>1.5202057055491851</v>
      </c>
      <c r="I9" s="1">
        <f t="shared" si="3"/>
        <v>0.52</v>
      </c>
      <c r="J9" s="2">
        <f t="shared" si="4"/>
        <v>1270297</v>
      </c>
      <c r="K9" s="7">
        <f t="shared" si="5"/>
        <v>1.5388867161066033</v>
      </c>
      <c r="L9" s="7">
        <f t="shared" si="6"/>
        <v>0.77082934102704104</v>
      </c>
      <c r="M9" s="7">
        <f t="shared" si="7"/>
        <v>1.4743930575771862</v>
      </c>
      <c r="N9" s="7">
        <f t="shared" si="8"/>
        <v>0.51444061874448654</v>
      </c>
      <c r="O9" s="1">
        <v>4</v>
      </c>
      <c r="P9" s="1">
        <v>2</v>
      </c>
      <c r="Q9" s="1">
        <v>3</v>
      </c>
      <c r="R9" s="1">
        <v>5</v>
      </c>
      <c r="S9" s="1">
        <f t="shared" si="9"/>
        <v>1.136440169531957</v>
      </c>
      <c r="T9" s="1">
        <f t="shared" si="10"/>
        <v>6.76</v>
      </c>
      <c r="U9" s="1" t="str">
        <f t="shared" si="11"/>
        <v>Very high</v>
      </c>
      <c r="V9" s="1" t="s">
        <v>27</v>
      </c>
      <c r="AL9" s="1" t="s">
        <v>41</v>
      </c>
      <c r="AN9" s="2" t="s">
        <v>42</v>
      </c>
      <c r="AO9" s="8">
        <v>14766</v>
      </c>
      <c r="AP9" s="1">
        <f t="shared" si="12"/>
        <v>14766</v>
      </c>
    </row>
    <row r="10" spans="1:42" ht="15.75" customHeight="1">
      <c r="A10" s="6" t="s">
        <v>43</v>
      </c>
      <c r="B10" s="1">
        <v>1100</v>
      </c>
      <c r="C10" s="1">
        <v>1340</v>
      </c>
      <c r="D10" s="1">
        <v>1580</v>
      </c>
      <c r="E10" s="1">
        <v>1830</v>
      </c>
      <c r="F10" s="1">
        <f t="shared" si="0"/>
        <v>5850</v>
      </c>
      <c r="G10" s="1">
        <f t="shared" si="1"/>
        <v>251803</v>
      </c>
      <c r="H10" s="1">
        <f t="shared" si="2"/>
        <v>2.3232447587995377</v>
      </c>
      <c r="I10" s="1">
        <f t="shared" si="3"/>
        <v>0.8</v>
      </c>
      <c r="J10" s="2">
        <f t="shared" si="4"/>
        <v>1011161</v>
      </c>
      <c r="K10" s="7">
        <f t="shared" si="5"/>
        <v>1.2249593841007804</v>
      </c>
      <c r="L10" s="7">
        <f t="shared" si="6"/>
        <v>0.61358293950331599</v>
      </c>
      <c r="M10" s="7">
        <f t="shared" si="7"/>
        <v>1.0750217029694922</v>
      </c>
      <c r="N10" s="7">
        <f t="shared" si="8"/>
        <v>0.37509321357505454</v>
      </c>
      <c r="O10" s="1">
        <v>4</v>
      </c>
      <c r="P10" s="1">
        <v>2</v>
      </c>
      <c r="Q10" s="1">
        <v>3</v>
      </c>
      <c r="R10" s="1">
        <v>2</v>
      </c>
      <c r="S10" s="1">
        <f t="shared" si="9"/>
        <v>1.2279984253038645</v>
      </c>
      <c r="T10" s="1">
        <f t="shared" si="10"/>
        <v>5.62</v>
      </c>
      <c r="U10" s="1" t="str">
        <f t="shared" si="11"/>
        <v>Very high</v>
      </c>
      <c r="V10" s="1" t="s">
        <v>27</v>
      </c>
      <c r="AL10" s="1" t="s">
        <v>44</v>
      </c>
      <c r="AN10" s="2" t="s">
        <v>45</v>
      </c>
      <c r="AO10" s="8">
        <v>5334</v>
      </c>
      <c r="AP10" s="1">
        <f t="shared" si="12"/>
        <v>5334</v>
      </c>
    </row>
    <row r="11" spans="1:42" ht="15.75" customHeight="1">
      <c r="A11" s="6" t="s">
        <v>46</v>
      </c>
      <c r="B11" s="1">
        <v>2100</v>
      </c>
      <c r="C11" s="1">
        <v>2480</v>
      </c>
      <c r="D11" s="1">
        <v>2850</v>
      </c>
      <c r="E11" s="1">
        <v>3200</v>
      </c>
      <c r="F11" s="1">
        <f t="shared" si="0"/>
        <v>10630</v>
      </c>
      <c r="G11" s="1">
        <f t="shared" si="1"/>
        <v>560282</v>
      </c>
      <c r="H11" s="1">
        <f t="shared" si="2"/>
        <v>1.8972588803495383</v>
      </c>
      <c r="I11" s="1">
        <f t="shared" si="3"/>
        <v>0.65</v>
      </c>
      <c r="J11" s="2">
        <f t="shared" si="4"/>
        <v>1900055</v>
      </c>
      <c r="K11" s="7">
        <f t="shared" si="5"/>
        <v>2.3017998148243537</v>
      </c>
      <c r="L11" s="7">
        <f t="shared" si="6"/>
        <v>1.1529730004598409</v>
      </c>
      <c r="M11" s="7">
        <f t="shared" si="7"/>
        <v>2.3920100625614191</v>
      </c>
      <c r="N11" s="7">
        <f t="shared" si="8"/>
        <v>0.834612676927037</v>
      </c>
      <c r="O11" s="1">
        <v>4</v>
      </c>
      <c r="P11" s="1">
        <v>4</v>
      </c>
      <c r="Q11" s="1">
        <v>4</v>
      </c>
      <c r="R11" s="1">
        <v>2</v>
      </c>
      <c r="S11" s="1">
        <f t="shared" si="9"/>
        <v>1.6304180740328622</v>
      </c>
      <c r="T11" s="1">
        <f t="shared" si="10"/>
        <v>7.24</v>
      </c>
      <c r="U11" s="1" t="str">
        <f t="shared" si="11"/>
        <v>Very high</v>
      </c>
      <c r="V11" s="1" t="s">
        <v>27</v>
      </c>
      <c r="AL11" s="1" t="s">
        <v>47</v>
      </c>
      <c r="AN11" s="2" t="s">
        <v>48</v>
      </c>
      <c r="AO11" s="8">
        <v>32256</v>
      </c>
      <c r="AP11" s="1">
        <f t="shared" si="12"/>
        <v>32256</v>
      </c>
    </row>
    <row r="12" spans="1:42" ht="15.75" customHeight="1">
      <c r="A12" s="6" t="s">
        <v>49</v>
      </c>
      <c r="B12" s="1">
        <v>2650</v>
      </c>
      <c r="C12" s="1">
        <v>2727</v>
      </c>
      <c r="D12" s="1">
        <v>3711</v>
      </c>
      <c r="E12" s="1">
        <v>4096</v>
      </c>
      <c r="F12" s="1">
        <f t="shared" si="0"/>
        <v>13184</v>
      </c>
      <c r="G12" s="1">
        <f t="shared" si="1"/>
        <v>708614</v>
      </c>
      <c r="H12" s="1">
        <f t="shared" si="2"/>
        <v>1.8605333792445535</v>
      </c>
      <c r="I12" s="1">
        <f t="shared" si="3"/>
        <v>0.64</v>
      </c>
      <c r="J12" s="2">
        <f t="shared" si="4"/>
        <v>2467590</v>
      </c>
      <c r="K12" s="7">
        <f t="shared" si="5"/>
        <v>2.9893335745872762</v>
      </c>
      <c r="L12" s="7">
        <f t="shared" si="6"/>
        <v>1.4973591007653455</v>
      </c>
      <c r="M12" s="7">
        <f t="shared" si="7"/>
        <v>3.0252833724301289</v>
      </c>
      <c r="N12" s="7">
        <f t="shared" si="8"/>
        <v>1.0555724214734286</v>
      </c>
      <c r="O12" s="1">
        <v>4</v>
      </c>
      <c r="P12" s="1">
        <v>2</v>
      </c>
      <c r="Q12" s="1">
        <v>4</v>
      </c>
      <c r="R12" s="1">
        <v>2</v>
      </c>
      <c r="S12" s="1">
        <f t="shared" si="9"/>
        <v>1.9138443353375383</v>
      </c>
      <c r="T12" s="1">
        <f t="shared" si="10"/>
        <v>6.16</v>
      </c>
      <c r="U12" s="1" t="str">
        <f t="shared" si="11"/>
        <v>Very high</v>
      </c>
      <c r="V12" s="1" t="s">
        <v>27</v>
      </c>
      <c r="AL12" s="1" t="s">
        <v>50</v>
      </c>
      <c r="AN12" s="2" t="s">
        <v>51</v>
      </c>
      <c r="AO12" s="8">
        <v>16110</v>
      </c>
      <c r="AP12" s="1">
        <f t="shared" si="12"/>
        <v>16110</v>
      </c>
    </row>
    <row r="13" spans="1:42" ht="15.75" customHeight="1">
      <c r="A13" s="6" t="s">
        <v>52</v>
      </c>
      <c r="B13" s="1">
        <v>620</v>
      </c>
      <c r="C13" s="1">
        <v>760</v>
      </c>
      <c r="D13" s="1">
        <v>920</v>
      </c>
      <c r="E13" s="1">
        <v>1100</v>
      </c>
      <c r="F13" s="1">
        <f t="shared" si="0"/>
        <v>3400</v>
      </c>
      <c r="G13" s="1">
        <f t="shared" si="1"/>
        <v>209882</v>
      </c>
      <c r="H13" s="1">
        <f t="shared" si="2"/>
        <v>1.6199578810950916</v>
      </c>
      <c r="I13" s="1">
        <f t="shared" si="3"/>
        <v>0.56000000000000005</v>
      </c>
      <c r="J13" s="2">
        <f t="shared" si="4"/>
        <v>598846</v>
      </c>
      <c r="K13" s="7">
        <f t="shared" si="5"/>
        <v>0.72546511122483559</v>
      </c>
      <c r="L13" s="7">
        <f t="shared" si="6"/>
        <v>0.36338593852987089</v>
      </c>
      <c r="M13" s="7">
        <f t="shared" si="7"/>
        <v>0.89604851833633026</v>
      </c>
      <c r="N13" s="7">
        <f t="shared" si="8"/>
        <v>0.31264644921450341</v>
      </c>
      <c r="O13" s="1">
        <v>2</v>
      </c>
      <c r="P13" s="1">
        <v>1</v>
      </c>
      <c r="Q13" s="1">
        <v>2</v>
      </c>
      <c r="R13" s="1">
        <v>3</v>
      </c>
      <c r="S13" s="1">
        <f t="shared" si="9"/>
        <v>0.86820688986210082</v>
      </c>
      <c r="T13" s="1">
        <f t="shared" si="10"/>
        <v>3.8400000000000003</v>
      </c>
      <c r="U13" s="1" t="str">
        <f t="shared" si="11"/>
        <v>Very low</v>
      </c>
      <c r="AL13" s="1" t="s">
        <v>53</v>
      </c>
      <c r="AN13" s="2" t="s">
        <v>54</v>
      </c>
      <c r="AO13" s="8">
        <v>4267</v>
      </c>
      <c r="AP13" s="1">
        <f t="shared" si="12"/>
        <v>4267</v>
      </c>
    </row>
    <row r="14" spans="1:42" ht="15.75" customHeight="1">
      <c r="A14" s="6" t="s">
        <v>55</v>
      </c>
      <c r="B14" s="1">
        <v>3200</v>
      </c>
      <c r="C14" s="1">
        <v>3700</v>
      </c>
      <c r="D14" s="1">
        <v>4200</v>
      </c>
      <c r="E14" s="1">
        <v>4700</v>
      </c>
      <c r="F14" s="1">
        <f t="shared" si="0"/>
        <v>15800</v>
      </c>
      <c r="G14" s="1">
        <f t="shared" si="1"/>
        <v>162400</v>
      </c>
      <c r="H14" s="1">
        <f t="shared" si="2"/>
        <v>9.7290640394088683</v>
      </c>
      <c r="I14" s="1">
        <f t="shared" si="3"/>
        <v>3.35</v>
      </c>
      <c r="J14" s="2">
        <f t="shared" si="4"/>
        <v>604965</v>
      </c>
      <c r="K14" s="7">
        <f t="shared" si="5"/>
        <v>0.73287790352132709</v>
      </c>
      <c r="L14" s="7">
        <f t="shared" si="6"/>
        <v>0.36709901093557162</v>
      </c>
      <c r="M14" s="7">
        <f t="shared" si="7"/>
        <v>0.69333377506322613</v>
      </c>
      <c r="N14" s="7">
        <f t="shared" si="8"/>
        <v>0.24191585439644825</v>
      </c>
      <c r="O14" s="1">
        <v>5</v>
      </c>
      <c r="P14" s="1">
        <v>2</v>
      </c>
      <c r="Q14" s="1">
        <v>4</v>
      </c>
      <c r="R14" s="1">
        <v>2</v>
      </c>
      <c r="S14" s="1">
        <f t="shared" si="9"/>
        <v>3.3311807024517428</v>
      </c>
      <c r="T14" s="1">
        <f t="shared" si="10"/>
        <v>6.7</v>
      </c>
      <c r="U14" s="1" t="str">
        <f t="shared" si="11"/>
        <v>low</v>
      </c>
      <c r="AL14" s="1" t="s">
        <v>56</v>
      </c>
      <c r="AN14" s="2" t="s">
        <v>57</v>
      </c>
      <c r="AO14" s="8">
        <v>4118</v>
      </c>
      <c r="AP14" s="1">
        <f t="shared" si="12"/>
        <v>4118</v>
      </c>
    </row>
    <row r="15" spans="1:42" ht="15.75" customHeight="1">
      <c r="A15" s="6" t="s">
        <v>58</v>
      </c>
      <c r="B15" s="1">
        <v>2517</v>
      </c>
      <c r="C15" s="1">
        <v>2700</v>
      </c>
      <c r="D15" s="1">
        <v>4009</v>
      </c>
      <c r="E15" s="1">
        <v>4486</v>
      </c>
      <c r="F15" s="1">
        <f t="shared" si="0"/>
        <v>13712</v>
      </c>
      <c r="G15" s="1">
        <f t="shared" si="1"/>
        <v>638480</v>
      </c>
      <c r="H15" s="1">
        <f t="shared" si="2"/>
        <v>2.1476005513093597</v>
      </c>
      <c r="I15" s="1">
        <f t="shared" si="3"/>
        <v>0.74</v>
      </c>
      <c r="J15" s="2">
        <f t="shared" si="4"/>
        <v>2662264</v>
      </c>
      <c r="K15" s="7">
        <f t="shared" si="5"/>
        <v>3.2251691567946947</v>
      </c>
      <c r="L15" s="7">
        <f t="shared" si="6"/>
        <v>1.6154892948342114</v>
      </c>
      <c r="M15" s="7">
        <f t="shared" si="7"/>
        <v>2.7258605215663092</v>
      </c>
      <c r="N15" s="7">
        <f t="shared" si="8"/>
        <v>0.95109873593007577</v>
      </c>
      <c r="O15" s="1">
        <v>5</v>
      </c>
      <c r="P15" s="1">
        <v>3</v>
      </c>
      <c r="Q15" s="1">
        <v>4</v>
      </c>
      <c r="R15" s="1">
        <v>3</v>
      </c>
      <c r="S15" s="1">
        <f t="shared" si="9"/>
        <v>1.9779648330847377</v>
      </c>
      <c r="T15" s="1">
        <f t="shared" si="10"/>
        <v>7.620000000000001</v>
      </c>
      <c r="U15" s="1" t="str">
        <f t="shared" si="11"/>
        <v>Very high</v>
      </c>
      <c r="V15" s="1" t="s">
        <v>27</v>
      </c>
      <c r="AL15" s="1" t="s">
        <v>59</v>
      </c>
      <c r="AN15" s="2" t="s">
        <v>60</v>
      </c>
      <c r="AO15" s="8">
        <v>60274</v>
      </c>
      <c r="AP15" s="1">
        <f t="shared" si="12"/>
        <v>60274</v>
      </c>
    </row>
    <row r="16" spans="1:42" ht="15.75" customHeight="1">
      <c r="A16" s="6" t="s">
        <v>61</v>
      </c>
      <c r="B16" s="1">
        <v>840</v>
      </c>
      <c r="C16" s="1">
        <v>1020</v>
      </c>
      <c r="D16" s="1">
        <v>1200</v>
      </c>
      <c r="E16" s="1">
        <v>1380</v>
      </c>
      <c r="F16" s="1">
        <f t="shared" si="0"/>
        <v>4440</v>
      </c>
      <c r="G16" s="1">
        <f t="shared" si="1"/>
        <v>367333</v>
      </c>
      <c r="H16" s="1">
        <f t="shared" si="2"/>
        <v>1.2087125305921331</v>
      </c>
      <c r="I16" s="1">
        <f t="shared" si="3"/>
        <v>0.42</v>
      </c>
      <c r="J16" s="2">
        <f t="shared" si="4"/>
        <v>1170410</v>
      </c>
      <c r="K16" s="7">
        <f t="shared" si="5"/>
        <v>1.417879756779973</v>
      </c>
      <c r="L16" s="7">
        <f t="shared" si="6"/>
        <v>0.71021687765259534</v>
      </c>
      <c r="M16" s="7">
        <f t="shared" si="7"/>
        <v>1.5682535443060346</v>
      </c>
      <c r="N16" s="7">
        <f t="shared" si="8"/>
        <v>0.54719012649637022</v>
      </c>
      <c r="O16" s="1">
        <v>3</v>
      </c>
      <c r="P16" s="1">
        <v>3</v>
      </c>
      <c r="Q16" s="1">
        <v>2</v>
      </c>
      <c r="R16" s="1">
        <v>3</v>
      </c>
      <c r="S16" s="1">
        <f t="shared" si="9"/>
        <v>1.0451198396084973</v>
      </c>
      <c r="T16" s="1">
        <f t="shared" si="10"/>
        <v>5.4600000000000009</v>
      </c>
      <c r="U16" s="1" t="str">
        <f t="shared" si="11"/>
        <v>Very high</v>
      </c>
      <c r="V16" s="1" t="s">
        <v>27</v>
      </c>
      <c r="AL16" s="1" t="s">
        <v>62</v>
      </c>
      <c r="AN16" s="2" t="s">
        <v>63</v>
      </c>
      <c r="AO16" s="8">
        <v>8907</v>
      </c>
      <c r="AP16" s="1">
        <f t="shared" si="12"/>
        <v>8907</v>
      </c>
    </row>
    <row r="17" spans="1:42" ht="15.75" customHeight="1">
      <c r="A17" s="6" t="s">
        <v>64</v>
      </c>
      <c r="B17" s="1">
        <v>1250</v>
      </c>
      <c r="C17" s="1">
        <v>1520</v>
      </c>
      <c r="D17" s="1">
        <v>1790</v>
      </c>
      <c r="E17" s="1">
        <v>2050</v>
      </c>
      <c r="F17" s="1">
        <f t="shared" si="0"/>
        <v>6610</v>
      </c>
      <c r="G17" s="1">
        <f t="shared" si="1"/>
        <v>633091</v>
      </c>
      <c r="H17" s="1">
        <f t="shared" si="2"/>
        <v>1.0440837099247975</v>
      </c>
      <c r="I17" s="1">
        <f t="shared" si="3"/>
        <v>0.36</v>
      </c>
      <c r="J17" s="2">
        <f t="shared" si="4"/>
        <v>2648036</v>
      </c>
      <c r="K17" s="7">
        <f t="shared" si="5"/>
        <v>3.2079328095493147</v>
      </c>
      <c r="L17" s="7">
        <f t="shared" si="6"/>
        <v>1.6068555974672707</v>
      </c>
      <c r="M17" s="7">
        <f t="shared" si="7"/>
        <v>2.7028532819492175</v>
      </c>
      <c r="N17" s="7">
        <f t="shared" si="8"/>
        <v>0.94307112177156305</v>
      </c>
      <c r="O17" s="1">
        <v>4</v>
      </c>
      <c r="P17" s="1">
        <v>4</v>
      </c>
      <c r="Q17" s="1">
        <v>3</v>
      </c>
      <c r="R17" s="1">
        <v>2</v>
      </c>
      <c r="S17" s="1">
        <f t="shared" si="9"/>
        <v>1.6268920242270024</v>
      </c>
      <c r="T17" s="1">
        <f t="shared" si="10"/>
        <v>6.7</v>
      </c>
      <c r="U17" s="1" t="str">
        <f t="shared" si="11"/>
        <v>Very high</v>
      </c>
      <c r="V17" s="1" t="s">
        <v>27</v>
      </c>
      <c r="AL17" s="1" t="s">
        <v>65</v>
      </c>
      <c r="AN17" s="2" t="s">
        <v>66</v>
      </c>
      <c r="AO17" s="8">
        <v>50822</v>
      </c>
      <c r="AP17" s="1">
        <f t="shared" si="12"/>
        <v>50822</v>
      </c>
    </row>
    <row r="18" spans="1:42" ht="15.75" customHeight="1">
      <c r="A18" s="6" t="s">
        <v>67</v>
      </c>
      <c r="B18" s="1">
        <v>720</v>
      </c>
      <c r="C18" s="1">
        <v>880</v>
      </c>
      <c r="D18" s="1">
        <v>1040</v>
      </c>
      <c r="E18" s="1">
        <v>1200</v>
      </c>
      <c r="F18" s="1">
        <f t="shared" si="0"/>
        <v>3840</v>
      </c>
      <c r="G18" s="1">
        <f t="shared" si="1"/>
        <v>184984</v>
      </c>
      <c r="H18" s="1">
        <f t="shared" si="2"/>
        <v>2.0758552090991653</v>
      </c>
      <c r="I18" s="1">
        <f t="shared" si="3"/>
        <v>0.71</v>
      </c>
      <c r="J18" s="2">
        <f t="shared" si="4"/>
        <v>759028</v>
      </c>
      <c r="K18" s="7">
        <f t="shared" si="5"/>
        <v>0.9195157560420617</v>
      </c>
      <c r="L18" s="7">
        <f t="shared" si="6"/>
        <v>0.46058603071649612</v>
      </c>
      <c r="M18" s="7">
        <f t="shared" si="7"/>
        <v>0.78975157048211708</v>
      </c>
      <c r="N18" s="7">
        <f t="shared" si="8"/>
        <v>0.27555765030586565</v>
      </c>
      <c r="O18" s="1">
        <v>3</v>
      </c>
      <c r="P18" s="1">
        <v>2</v>
      </c>
      <c r="Q18" s="1">
        <v>3</v>
      </c>
      <c r="R18" s="1">
        <v>2</v>
      </c>
      <c r="S18" s="1">
        <f t="shared" si="9"/>
        <v>1.0161247675007044</v>
      </c>
      <c r="T18" s="1">
        <f t="shared" si="10"/>
        <v>5.08</v>
      </c>
      <c r="U18" s="1" t="str">
        <f t="shared" si="11"/>
        <v>Very high</v>
      </c>
      <c r="V18" s="1" t="s">
        <v>27</v>
      </c>
      <c r="AL18" s="1" t="s">
        <v>68</v>
      </c>
      <c r="AN18" s="2" t="s">
        <v>69</v>
      </c>
      <c r="AO18" s="8">
        <v>12295</v>
      </c>
      <c r="AP18" s="1">
        <f t="shared" si="12"/>
        <v>12295</v>
      </c>
    </row>
    <row r="19" spans="1:42" ht="15.75" customHeight="1">
      <c r="A19" s="6" t="s">
        <v>70</v>
      </c>
      <c r="B19" s="1">
        <v>1700</v>
      </c>
      <c r="C19" s="1">
        <v>2050</v>
      </c>
      <c r="D19" s="1">
        <v>2400</v>
      </c>
      <c r="E19" s="1">
        <v>2750</v>
      </c>
      <c r="F19" s="1">
        <f t="shared" si="0"/>
        <v>8900</v>
      </c>
      <c r="G19" s="1">
        <f t="shared" si="1"/>
        <v>305580</v>
      </c>
      <c r="H19" s="1">
        <f t="shared" si="2"/>
        <v>2.912494273185418</v>
      </c>
      <c r="I19" s="1">
        <f t="shared" si="3"/>
        <v>1</v>
      </c>
      <c r="J19" s="2">
        <f t="shared" si="4"/>
        <v>1237305</v>
      </c>
      <c r="K19" s="7">
        <f t="shared" si="5"/>
        <v>1.4989189364945998</v>
      </c>
      <c r="L19" s="7">
        <f t="shared" si="6"/>
        <v>0.75080945463892534</v>
      </c>
      <c r="M19" s="7">
        <f t="shared" si="7"/>
        <v>1.3046116686195852</v>
      </c>
      <c r="N19" s="7">
        <f t="shared" si="8"/>
        <v>0.45520102701026272</v>
      </c>
      <c r="O19" s="1">
        <v>3</v>
      </c>
      <c r="P19" s="1">
        <v>2</v>
      </c>
      <c r="Q19" s="1">
        <v>3</v>
      </c>
      <c r="R19" s="1">
        <v>3</v>
      </c>
      <c r="S19" s="1">
        <f t="shared" si="9"/>
        <v>1.5189645007627539</v>
      </c>
      <c r="T19" s="1">
        <f t="shared" si="10"/>
        <v>5.4600000000000009</v>
      </c>
      <c r="U19" s="1" t="str">
        <f t="shared" si="11"/>
        <v>Very high</v>
      </c>
      <c r="V19" s="1" t="s">
        <v>27</v>
      </c>
      <c r="AL19" s="1" t="s">
        <v>71</v>
      </c>
      <c r="AN19" s="2" t="s">
        <v>72</v>
      </c>
      <c r="AO19" s="8">
        <v>15937</v>
      </c>
      <c r="AP19" s="1">
        <f t="shared" si="12"/>
        <v>15937</v>
      </c>
    </row>
    <row r="20" spans="1:42" ht="15.75" customHeight="1">
      <c r="A20" s="6" t="s">
        <v>73</v>
      </c>
      <c r="B20" s="1">
        <v>1300</v>
      </c>
      <c r="C20" s="1">
        <v>1580</v>
      </c>
      <c r="D20" s="1">
        <v>1850</v>
      </c>
      <c r="E20" s="1">
        <v>2120</v>
      </c>
      <c r="F20" s="1">
        <f t="shared" si="0"/>
        <v>6850</v>
      </c>
      <c r="G20" s="1">
        <f t="shared" si="1"/>
        <v>451457</v>
      </c>
      <c r="H20" s="1">
        <f t="shared" si="2"/>
        <v>1.5173095112048323</v>
      </c>
      <c r="I20" s="1">
        <f t="shared" si="3"/>
        <v>0.52</v>
      </c>
      <c r="J20" s="2">
        <f t="shared" si="4"/>
        <v>1661332</v>
      </c>
      <c r="K20" s="7">
        <f t="shared" si="5"/>
        <v>2.0126015773026427</v>
      </c>
      <c r="L20" s="7">
        <f t="shared" si="6"/>
        <v>1.0081134181904987</v>
      </c>
      <c r="M20" s="7">
        <f t="shared" si="7"/>
        <v>1.9274038552261015</v>
      </c>
      <c r="N20" s="7">
        <f t="shared" si="8"/>
        <v>0.67250373077744674</v>
      </c>
      <c r="O20" s="1">
        <v>3</v>
      </c>
      <c r="P20" s="1">
        <v>2</v>
      </c>
      <c r="Q20" s="1">
        <v>3</v>
      </c>
      <c r="R20" s="1">
        <v>2</v>
      </c>
      <c r="S20" s="1">
        <f t="shared" si="9"/>
        <v>1.3419979788204122</v>
      </c>
      <c r="T20" s="1">
        <f t="shared" si="10"/>
        <v>5.08</v>
      </c>
      <c r="U20" s="1" t="str">
        <f t="shared" si="11"/>
        <v>Very high</v>
      </c>
      <c r="V20" s="1" t="s">
        <v>27</v>
      </c>
      <c r="AL20" s="1" t="s">
        <v>74</v>
      </c>
      <c r="AN20" s="2" t="s">
        <v>75</v>
      </c>
      <c r="AO20" s="8">
        <v>41262</v>
      </c>
      <c r="AP20" s="1">
        <f t="shared" si="12"/>
        <v>41262</v>
      </c>
    </row>
    <row r="21" spans="1:42" ht="15.75" customHeight="1">
      <c r="A21" s="6" t="s">
        <v>76</v>
      </c>
      <c r="B21" s="1">
        <v>0</v>
      </c>
      <c r="C21" s="1">
        <v>0</v>
      </c>
      <c r="D21" s="1">
        <v>0</v>
      </c>
      <c r="E21" s="1">
        <v>0</v>
      </c>
      <c r="F21" s="1">
        <f t="shared" si="0"/>
        <v>0</v>
      </c>
      <c r="G21" s="1">
        <f t="shared" si="1"/>
        <v>0</v>
      </c>
      <c r="H21" s="1">
        <v>0</v>
      </c>
      <c r="I21" s="1">
        <f t="shared" si="3"/>
        <v>0</v>
      </c>
      <c r="J21" s="2">
        <f t="shared" si="4"/>
        <v>0</v>
      </c>
      <c r="K21" s="7">
        <f t="shared" si="5"/>
        <v>0</v>
      </c>
      <c r="L21" s="7">
        <f t="shared" si="6"/>
        <v>0</v>
      </c>
      <c r="M21" s="7">
        <f t="shared" si="7"/>
        <v>0</v>
      </c>
      <c r="N21" s="7">
        <f t="shared" si="8"/>
        <v>0</v>
      </c>
      <c r="O21" s="1">
        <v>3</v>
      </c>
      <c r="P21" s="1">
        <v>3</v>
      </c>
      <c r="Q21" s="1">
        <v>2</v>
      </c>
      <c r="R21" s="1">
        <v>2</v>
      </c>
      <c r="S21" s="1">
        <f t="shared" si="9"/>
        <v>0</v>
      </c>
      <c r="T21" s="1">
        <f t="shared" si="10"/>
        <v>5.08</v>
      </c>
      <c r="U21" s="1" t="str">
        <f t="shared" si="11"/>
        <v>Very low</v>
      </c>
      <c r="AL21" s="1">
        <v>0</v>
      </c>
      <c r="AN21" s="2">
        <v>0</v>
      </c>
      <c r="AO21" s="1">
        <v>0</v>
      </c>
      <c r="AP21" s="1">
        <f t="shared" si="12"/>
        <v>0</v>
      </c>
    </row>
    <row r="22" spans="1:42" ht="12.6">
      <c r="A22" s="6" t="s">
        <v>77</v>
      </c>
      <c r="B22" s="1">
        <v>900</v>
      </c>
      <c r="C22" s="1">
        <v>1100</v>
      </c>
      <c r="D22" s="1">
        <v>1300</v>
      </c>
      <c r="E22" s="1">
        <v>1500</v>
      </c>
      <c r="F22" s="1">
        <f t="shared" si="0"/>
        <v>4800</v>
      </c>
      <c r="G22" s="1">
        <f t="shared" si="1"/>
        <v>278730</v>
      </c>
      <c r="H22" s="1">
        <f t="shared" ref="H22:H62" si="13">(F22/G22)*100</f>
        <v>1.7220966526746313</v>
      </c>
      <c r="I22" s="1">
        <f t="shared" si="3"/>
        <v>0.59</v>
      </c>
      <c r="J22" s="2">
        <f t="shared" si="4"/>
        <v>1201736</v>
      </c>
      <c r="K22" s="7">
        <f t="shared" si="5"/>
        <v>1.4558292798196681</v>
      </c>
      <c r="L22" s="7">
        <f t="shared" si="6"/>
        <v>0.72922581803190289</v>
      </c>
      <c r="M22" s="7">
        <f t="shared" si="7"/>
        <v>1.189981053715351</v>
      </c>
      <c r="N22" s="7">
        <f t="shared" si="8"/>
        <v>0.41520447103400254</v>
      </c>
      <c r="O22" s="1">
        <v>3</v>
      </c>
      <c r="P22" s="1">
        <v>3</v>
      </c>
      <c r="Q22" s="1">
        <v>2</v>
      </c>
      <c r="R22" s="1">
        <v>3</v>
      </c>
      <c r="S22" s="1">
        <f t="shared" si="9"/>
        <v>1.1133334569365629</v>
      </c>
      <c r="T22" s="1">
        <f t="shared" si="10"/>
        <v>5.4600000000000009</v>
      </c>
      <c r="U22" s="1" t="str">
        <f t="shared" si="11"/>
        <v>Very high</v>
      </c>
      <c r="V22" s="1" t="s">
        <v>27</v>
      </c>
      <c r="AL22" s="1" t="s">
        <v>78</v>
      </c>
      <c r="AN22" s="2" t="s">
        <v>79</v>
      </c>
      <c r="AO22" s="8">
        <v>6960</v>
      </c>
      <c r="AP22" s="1">
        <f t="shared" si="12"/>
        <v>6960</v>
      </c>
    </row>
    <row r="23" spans="1:42" ht="12.6">
      <c r="A23" s="6" t="s">
        <v>80</v>
      </c>
      <c r="B23" s="1">
        <v>640</v>
      </c>
      <c r="C23" s="1">
        <v>790</v>
      </c>
      <c r="D23" s="1">
        <v>940</v>
      </c>
      <c r="E23" s="1">
        <v>1100</v>
      </c>
      <c r="F23" s="1">
        <f t="shared" si="0"/>
        <v>3470</v>
      </c>
      <c r="G23" s="1">
        <f t="shared" si="1"/>
        <v>394150</v>
      </c>
      <c r="H23" s="1">
        <f t="shared" si="13"/>
        <v>0.8803754915641252</v>
      </c>
      <c r="I23" s="1">
        <f t="shared" si="3"/>
        <v>0.3</v>
      </c>
      <c r="J23" s="2">
        <f t="shared" si="4"/>
        <v>1561472</v>
      </c>
      <c r="K23" s="7">
        <f t="shared" si="5"/>
        <v>1.8916273268160204</v>
      </c>
      <c r="L23" s="7">
        <f t="shared" si="6"/>
        <v>0.94751733869494759</v>
      </c>
      <c r="M23" s="7">
        <f t="shared" si="7"/>
        <v>1.6827432724210012</v>
      </c>
      <c r="N23" s="7">
        <f t="shared" si="8"/>
        <v>0.58713752469433556</v>
      </c>
      <c r="O23" s="1">
        <v>3</v>
      </c>
      <c r="P23" s="1">
        <v>1</v>
      </c>
      <c r="Q23" s="1">
        <v>2</v>
      </c>
      <c r="R23" s="1">
        <v>3</v>
      </c>
      <c r="S23" s="1">
        <f t="shared" si="9"/>
        <v>1.0600032027640141</v>
      </c>
      <c r="T23" s="1">
        <f t="shared" si="10"/>
        <v>4.3800000000000008</v>
      </c>
      <c r="U23" s="1" t="str">
        <f t="shared" si="11"/>
        <v>low</v>
      </c>
      <c r="AL23" s="1" t="s">
        <v>81</v>
      </c>
      <c r="AN23" s="2" t="s">
        <v>82</v>
      </c>
      <c r="AO23" s="8">
        <v>10414</v>
      </c>
      <c r="AP23" s="1">
        <f t="shared" si="12"/>
        <v>10414</v>
      </c>
    </row>
    <row r="24" spans="1:42" ht="12.6">
      <c r="A24" s="6" t="s">
        <v>83</v>
      </c>
      <c r="B24" s="1">
        <v>980</v>
      </c>
      <c r="C24" s="1">
        <v>1200</v>
      </c>
      <c r="D24" s="1">
        <v>1420</v>
      </c>
      <c r="E24" s="1">
        <v>1650</v>
      </c>
      <c r="F24" s="1">
        <f t="shared" si="0"/>
        <v>5250</v>
      </c>
      <c r="G24" s="1">
        <f t="shared" si="1"/>
        <v>135735</v>
      </c>
      <c r="H24" s="1">
        <f t="shared" si="13"/>
        <v>3.8678306995248093</v>
      </c>
      <c r="I24" s="1">
        <f t="shared" si="3"/>
        <v>1.33</v>
      </c>
      <c r="J24" s="2">
        <f t="shared" si="4"/>
        <v>464241</v>
      </c>
      <c r="K24" s="7">
        <f t="shared" si="5"/>
        <v>0.56239942940276622</v>
      </c>
      <c r="L24" s="7">
        <f t="shared" si="6"/>
        <v>0.28170623413873652</v>
      </c>
      <c r="M24" s="7">
        <f t="shared" si="7"/>
        <v>0.57949298003822047</v>
      </c>
      <c r="N24" s="7">
        <f t="shared" si="8"/>
        <v>0.20219487990456839</v>
      </c>
      <c r="O24" s="1">
        <v>3</v>
      </c>
      <c r="P24" s="1">
        <v>2</v>
      </c>
      <c r="Q24" s="1">
        <v>3</v>
      </c>
      <c r="R24" s="1">
        <v>2</v>
      </c>
      <c r="S24" s="1">
        <f t="shared" si="9"/>
        <v>1.4512189095886925</v>
      </c>
      <c r="T24" s="1">
        <f t="shared" si="10"/>
        <v>5.08</v>
      </c>
      <c r="U24" s="1" t="str">
        <f t="shared" si="11"/>
        <v>Very high</v>
      </c>
      <c r="V24" s="1" t="s">
        <v>27</v>
      </c>
      <c r="AL24" s="1" t="s">
        <v>84</v>
      </c>
      <c r="AN24" s="2" t="s">
        <v>85</v>
      </c>
      <c r="AO24" s="8">
        <v>5955</v>
      </c>
      <c r="AP24" s="1">
        <f t="shared" si="12"/>
        <v>5955</v>
      </c>
    </row>
    <row r="25" spans="1:42" ht="12.6">
      <c r="A25" s="6" t="s">
        <v>86</v>
      </c>
      <c r="B25" s="1">
        <v>720</v>
      </c>
      <c r="C25" s="1">
        <v>890</v>
      </c>
      <c r="D25" s="1">
        <v>1060</v>
      </c>
      <c r="E25" s="1">
        <v>1220</v>
      </c>
      <c r="F25" s="1">
        <f t="shared" si="0"/>
        <v>3890</v>
      </c>
      <c r="G25" s="1">
        <f t="shared" si="1"/>
        <v>377985</v>
      </c>
      <c r="H25" s="1">
        <f t="shared" si="13"/>
        <v>1.0291413680437056</v>
      </c>
      <c r="I25" s="1">
        <f t="shared" si="3"/>
        <v>0.35</v>
      </c>
      <c r="J25" s="2">
        <f t="shared" si="4"/>
        <v>1180653</v>
      </c>
      <c r="K25" s="7">
        <f t="shared" si="5"/>
        <v>1.430288521527965</v>
      </c>
      <c r="L25" s="7">
        <f t="shared" si="6"/>
        <v>0.71643243585681071</v>
      </c>
      <c r="M25" s="7">
        <f t="shared" si="7"/>
        <v>1.6137300921630144</v>
      </c>
      <c r="N25" s="7">
        <f t="shared" si="8"/>
        <v>0.56305766147808811</v>
      </c>
      <c r="O25" s="1">
        <v>2</v>
      </c>
      <c r="P25" s="1">
        <v>2</v>
      </c>
      <c r="Q25" s="1">
        <v>2</v>
      </c>
      <c r="R25" s="1">
        <v>3</v>
      </c>
      <c r="S25" s="1">
        <f t="shared" si="9"/>
        <v>0.99571333737738588</v>
      </c>
      <c r="T25" s="1">
        <f t="shared" si="10"/>
        <v>4.3800000000000008</v>
      </c>
      <c r="U25" s="1" t="str">
        <f t="shared" si="11"/>
        <v>Very low</v>
      </c>
      <c r="AL25" s="1" t="s">
        <v>87</v>
      </c>
      <c r="AN25" s="2" t="s">
        <v>88</v>
      </c>
      <c r="AO25" s="8">
        <v>6703</v>
      </c>
      <c r="AP25" s="1">
        <f t="shared" si="12"/>
        <v>6703</v>
      </c>
    </row>
    <row r="26" spans="1:42" ht="12.6">
      <c r="A26" s="6" t="s">
        <v>89</v>
      </c>
      <c r="B26" s="1">
        <v>1800</v>
      </c>
      <c r="C26" s="1">
        <v>2150</v>
      </c>
      <c r="D26" s="1">
        <v>2500</v>
      </c>
      <c r="E26" s="1">
        <v>2850</v>
      </c>
      <c r="F26" s="1">
        <f t="shared" si="0"/>
        <v>9300</v>
      </c>
      <c r="G26" s="1">
        <f t="shared" si="1"/>
        <v>296162</v>
      </c>
      <c r="H26" s="1">
        <f t="shared" si="13"/>
        <v>3.140173283540765</v>
      </c>
      <c r="I26" s="1">
        <f t="shared" si="3"/>
        <v>1.08</v>
      </c>
      <c r="J26" s="2">
        <f t="shared" si="4"/>
        <v>1194008</v>
      </c>
      <c r="K26" s="7">
        <f t="shared" si="5"/>
        <v>1.4464672829464393</v>
      </c>
      <c r="L26" s="7">
        <f t="shared" si="6"/>
        <v>0.72453638780617058</v>
      </c>
      <c r="M26" s="7">
        <f t="shared" si="7"/>
        <v>1.2644034328218916</v>
      </c>
      <c r="N26" s="7">
        <f t="shared" si="8"/>
        <v>0.44117169501084308</v>
      </c>
      <c r="O26" s="1">
        <v>3</v>
      </c>
      <c r="P26" s="1">
        <v>1</v>
      </c>
      <c r="Q26" s="1">
        <v>3</v>
      </c>
      <c r="R26" s="1">
        <v>3</v>
      </c>
      <c r="S26" s="1">
        <f t="shared" si="9"/>
        <v>1.5706347416300583</v>
      </c>
      <c r="T26" s="1">
        <f t="shared" si="10"/>
        <v>4.92</v>
      </c>
      <c r="U26" s="1" t="str">
        <f t="shared" si="11"/>
        <v>Very high</v>
      </c>
      <c r="V26" s="1" t="s">
        <v>27</v>
      </c>
      <c r="AL26" s="1" t="s">
        <v>90</v>
      </c>
      <c r="AN26" s="2" t="s">
        <v>91</v>
      </c>
      <c r="AO26" s="8">
        <v>7321</v>
      </c>
      <c r="AP26" s="1">
        <f t="shared" si="12"/>
        <v>7321</v>
      </c>
    </row>
    <row r="27" spans="1:42" ht="12.6">
      <c r="A27" s="6" t="s">
        <v>92</v>
      </c>
      <c r="B27" s="1">
        <v>12238</v>
      </c>
      <c r="C27" s="1">
        <v>10862</v>
      </c>
      <c r="D27" s="1">
        <v>7443</v>
      </c>
      <c r="E27" s="1">
        <v>5639</v>
      </c>
      <c r="F27" s="1">
        <f t="shared" si="0"/>
        <v>36182</v>
      </c>
      <c r="G27" s="1">
        <f t="shared" si="1"/>
        <v>253846</v>
      </c>
      <c r="H27" s="1">
        <f t="shared" si="13"/>
        <v>14.25352379001442</v>
      </c>
      <c r="I27" s="1">
        <f t="shared" si="3"/>
        <v>4.91</v>
      </c>
      <c r="J27" s="2">
        <f t="shared" si="4"/>
        <v>2923063</v>
      </c>
      <c r="K27" s="7">
        <f t="shared" si="5"/>
        <v>3.5411111110572691</v>
      </c>
      <c r="L27" s="7">
        <f t="shared" si="6"/>
        <v>1.7737448219357563</v>
      </c>
      <c r="M27" s="7">
        <f t="shared" si="7"/>
        <v>1.0837438760141607</v>
      </c>
      <c r="N27" s="7">
        <f t="shared" si="8"/>
        <v>0.37813652694039906</v>
      </c>
      <c r="O27" s="1">
        <v>4</v>
      </c>
      <c r="P27" s="1">
        <v>3</v>
      </c>
      <c r="Q27" s="1">
        <v>4</v>
      </c>
      <c r="R27" s="1">
        <v>1</v>
      </c>
      <c r="S27" s="1">
        <f t="shared" si="9"/>
        <v>5.3931934976325824</v>
      </c>
      <c r="T27" s="1">
        <f t="shared" si="10"/>
        <v>6.32</v>
      </c>
      <c r="U27" s="1" t="str">
        <f t="shared" si="11"/>
        <v>low</v>
      </c>
      <c r="AL27" s="1" t="s">
        <v>93</v>
      </c>
      <c r="AN27" s="2" t="s">
        <v>94</v>
      </c>
      <c r="AO27" s="1" t="s">
        <v>95</v>
      </c>
      <c r="AP27" s="1">
        <f t="shared" si="12"/>
        <v>146076</v>
      </c>
    </row>
    <row r="28" spans="1:42" ht="12.6">
      <c r="A28" s="6" t="s">
        <v>96</v>
      </c>
      <c r="B28" s="1">
        <v>18111</v>
      </c>
      <c r="C28" s="1">
        <v>19724</v>
      </c>
      <c r="D28" s="1">
        <v>20214</v>
      </c>
      <c r="E28" s="1">
        <v>17545</v>
      </c>
      <c r="F28" s="1">
        <f t="shared" si="0"/>
        <v>75594</v>
      </c>
      <c r="G28" s="1">
        <f t="shared" si="1"/>
        <v>3356539</v>
      </c>
      <c r="H28" s="1">
        <f t="shared" si="13"/>
        <v>2.2521412681336339</v>
      </c>
      <c r="I28" s="1">
        <f t="shared" si="3"/>
        <v>0.78</v>
      </c>
      <c r="J28" s="2">
        <f t="shared" si="4"/>
        <v>8239807</v>
      </c>
      <c r="K28" s="7">
        <f t="shared" si="5"/>
        <v>9.9820195872163779</v>
      </c>
      <c r="L28" s="7">
        <f t="shared" si="6"/>
        <v>5</v>
      </c>
      <c r="M28" s="7">
        <f t="shared" si="7"/>
        <v>14.330060689759518</v>
      </c>
      <c r="N28" s="7">
        <f t="shared" si="8"/>
        <v>5</v>
      </c>
      <c r="O28" s="1">
        <v>5</v>
      </c>
      <c r="P28" s="1">
        <v>5</v>
      </c>
      <c r="Q28" s="1">
        <v>5</v>
      </c>
      <c r="R28" s="1">
        <v>1</v>
      </c>
      <c r="S28" s="1">
        <f t="shared" si="9"/>
        <v>6.202</v>
      </c>
      <c r="T28" s="1">
        <f t="shared" si="10"/>
        <v>8.4800000000000022</v>
      </c>
      <c r="U28" s="1" t="str">
        <f t="shared" si="11"/>
        <v>high</v>
      </c>
      <c r="V28" s="1" t="s">
        <v>27</v>
      </c>
      <c r="AL28" s="1" t="s">
        <v>97</v>
      </c>
      <c r="AN28" s="2" t="s">
        <v>98</v>
      </c>
      <c r="AO28" s="8">
        <v>62560</v>
      </c>
      <c r="AP28" s="1">
        <f t="shared" si="12"/>
        <v>62560</v>
      </c>
    </row>
    <row r="29" spans="1:42" ht="12.6">
      <c r="A29" s="6" t="s">
        <v>99</v>
      </c>
      <c r="B29" s="1">
        <v>5991</v>
      </c>
      <c r="C29" s="1">
        <v>6009</v>
      </c>
      <c r="D29" s="1">
        <v>4870</v>
      </c>
      <c r="E29" s="1">
        <v>6920</v>
      </c>
      <c r="F29" s="1">
        <f t="shared" si="0"/>
        <v>23790</v>
      </c>
      <c r="G29" s="1">
        <f t="shared" si="1"/>
        <v>334524</v>
      </c>
      <c r="H29" s="1">
        <f t="shared" si="13"/>
        <v>7.1115973741794303</v>
      </c>
      <c r="I29" s="1">
        <f t="shared" si="3"/>
        <v>2.4500000000000002</v>
      </c>
      <c r="J29" s="2">
        <f t="shared" si="4"/>
        <v>1148825</v>
      </c>
      <c r="K29" s="7">
        <f t="shared" si="5"/>
        <v>1.3917308563518362</v>
      </c>
      <c r="L29" s="7">
        <f t="shared" si="6"/>
        <v>0.69711887669213601</v>
      </c>
      <c r="M29" s="7">
        <f t="shared" si="7"/>
        <v>1.4281821906973562</v>
      </c>
      <c r="N29" s="7">
        <f t="shared" si="8"/>
        <v>0.49831686746377746</v>
      </c>
      <c r="O29" s="1">
        <v>5</v>
      </c>
      <c r="P29" s="1">
        <v>5</v>
      </c>
      <c r="Q29" s="1">
        <v>5</v>
      </c>
      <c r="R29" s="1">
        <v>1</v>
      </c>
      <c r="S29" s="1">
        <f t="shared" si="9"/>
        <v>2.8326693579014988</v>
      </c>
      <c r="T29" s="1">
        <f t="shared" si="10"/>
        <v>8.4800000000000022</v>
      </c>
      <c r="U29" s="1" t="str">
        <f t="shared" si="11"/>
        <v>Very high</v>
      </c>
      <c r="V29" s="1" t="s">
        <v>27</v>
      </c>
      <c r="AL29" s="1" t="s">
        <v>100</v>
      </c>
      <c r="AN29" s="2" t="s">
        <v>101</v>
      </c>
      <c r="AO29" s="8">
        <v>35352</v>
      </c>
      <c r="AP29" s="1">
        <f t="shared" si="12"/>
        <v>35352</v>
      </c>
    </row>
    <row r="30" spans="1:42" ht="12.6">
      <c r="A30" s="6" t="s">
        <v>102</v>
      </c>
      <c r="B30" s="1">
        <v>620</v>
      </c>
      <c r="C30" s="1">
        <v>760</v>
      </c>
      <c r="D30" s="1">
        <v>930</v>
      </c>
      <c r="E30" s="1">
        <v>1100</v>
      </c>
      <c r="F30" s="1">
        <f t="shared" si="0"/>
        <v>3410</v>
      </c>
      <c r="G30" s="1">
        <f t="shared" si="1"/>
        <v>150292</v>
      </c>
      <c r="H30" s="1">
        <f t="shared" si="13"/>
        <v>2.2689165091954329</v>
      </c>
      <c r="I30" s="1">
        <f t="shared" si="3"/>
        <v>0.78</v>
      </c>
      <c r="J30" s="2">
        <f t="shared" si="4"/>
        <v>629168</v>
      </c>
      <c r="K30" s="7">
        <f t="shared" si="5"/>
        <v>0.76219834999166292</v>
      </c>
      <c r="L30" s="7">
        <f t="shared" si="6"/>
        <v>0.381785641338444</v>
      </c>
      <c r="M30" s="7">
        <f t="shared" si="7"/>
        <v>0.6416411312918866</v>
      </c>
      <c r="N30" s="7">
        <f t="shared" si="8"/>
        <v>0.22387941865117614</v>
      </c>
      <c r="O30" s="1">
        <v>3</v>
      </c>
      <c r="P30" s="1">
        <v>5</v>
      </c>
      <c r="Q30" s="1">
        <v>3</v>
      </c>
      <c r="R30" s="1">
        <v>5</v>
      </c>
      <c r="S30" s="1">
        <f t="shared" si="9"/>
        <v>1.0114298495912011</v>
      </c>
      <c r="T30" s="1">
        <f t="shared" si="10"/>
        <v>7.84</v>
      </c>
      <c r="U30" s="1" t="str">
        <f t="shared" si="11"/>
        <v>Very high</v>
      </c>
      <c r="V30" s="1" t="s">
        <v>27</v>
      </c>
      <c r="AL30" s="1" t="s">
        <v>103</v>
      </c>
      <c r="AN30" s="2" t="s">
        <v>104</v>
      </c>
      <c r="AO30" s="8">
        <v>6011</v>
      </c>
      <c r="AP30" s="1">
        <f t="shared" si="12"/>
        <v>6011</v>
      </c>
    </row>
    <row r="31" spans="1:42" ht="12.6">
      <c r="A31" s="6" t="s">
        <v>105</v>
      </c>
      <c r="B31" s="1">
        <v>1400</v>
      </c>
      <c r="C31" s="1">
        <v>1680</v>
      </c>
      <c r="D31" s="1">
        <v>1950</v>
      </c>
      <c r="E31" s="1">
        <v>2200</v>
      </c>
      <c r="F31" s="1">
        <f t="shared" si="0"/>
        <v>7230</v>
      </c>
      <c r="G31" s="1">
        <f t="shared" si="1"/>
        <v>224901</v>
      </c>
      <c r="H31" s="1">
        <f t="shared" si="13"/>
        <v>3.2147478223751782</v>
      </c>
      <c r="I31" s="1">
        <f t="shared" si="3"/>
        <v>1.1100000000000001</v>
      </c>
      <c r="J31" s="2">
        <f t="shared" si="4"/>
        <v>791104</v>
      </c>
      <c r="K31" s="7">
        <f t="shared" si="5"/>
        <v>0.95837385797085117</v>
      </c>
      <c r="L31" s="7">
        <f t="shared" si="6"/>
        <v>0.4800500788428661</v>
      </c>
      <c r="M31" s="7">
        <f t="shared" si="7"/>
        <v>0.96016908463974515</v>
      </c>
      <c r="N31" s="7">
        <f t="shared" si="8"/>
        <v>0.33501919685723902</v>
      </c>
      <c r="O31" s="1">
        <v>2</v>
      </c>
      <c r="P31" s="1">
        <v>2</v>
      </c>
      <c r="Q31" s="1">
        <v>2</v>
      </c>
      <c r="R31" s="1">
        <v>4</v>
      </c>
      <c r="S31" s="1">
        <f t="shared" si="9"/>
        <v>1.4255334693372139</v>
      </c>
      <c r="T31" s="1">
        <f t="shared" si="10"/>
        <v>4.76</v>
      </c>
      <c r="U31" s="1" t="str">
        <f t="shared" si="11"/>
        <v>low</v>
      </c>
      <c r="AL31" s="1" t="s">
        <v>106</v>
      </c>
      <c r="AN31" s="2" t="s">
        <v>107</v>
      </c>
      <c r="AO31" s="8">
        <v>5858</v>
      </c>
      <c r="AP31" s="1">
        <f t="shared" si="12"/>
        <v>5858</v>
      </c>
    </row>
    <row r="32" spans="1:42" ht="12.6">
      <c r="A32" s="6" t="s">
        <v>108</v>
      </c>
      <c r="B32" s="1">
        <v>1000</v>
      </c>
      <c r="C32" s="1">
        <v>1220</v>
      </c>
      <c r="D32" s="1">
        <v>1450</v>
      </c>
      <c r="E32" s="1">
        <v>1680</v>
      </c>
      <c r="F32" s="1">
        <f t="shared" si="0"/>
        <v>5350</v>
      </c>
      <c r="G32" s="1">
        <f t="shared" si="1"/>
        <v>398669</v>
      </c>
      <c r="H32" s="1">
        <f t="shared" si="13"/>
        <v>1.3419653898346751</v>
      </c>
      <c r="I32" s="1">
        <f t="shared" si="3"/>
        <v>0.46</v>
      </c>
      <c r="J32" s="2">
        <f t="shared" si="4"/>
        <v>1306500</v>
      </c>
      <c r="K32" s="7">
        <f t="shared" si="5"/>
        <v>1.5827444248024496</v>
      </c>
      <c r="L32" s="7">
        <f t="shared" si="6"/>
        <v>0.79279769538291367</v>
      </c>
      <c r="M32" s="7">
        <f t="shared" si="7"/>
        <v>1.7020362239573972</v>
      </c>
      <c r="N32" s="7">
        <f t="shared" si="8"/>
        <v>0.59386916106143861</v>
      </c>
      <c r="O32" s="1">
        <v>3</v>
      </c>
      <c r="P32" s="1">
        <v>2</v>
      </c>
      <c r="Q32" s="1">
        <v>3</v>
      </c>
      <c r="R32" s="1">
        <v>3</v>
      </c>
      <c r="S32" s="1">
        <f t="shared" si="9"/>
        <v>1.1468274908961726</v>
      </c>
      <c r="T32" s="1">
        <f t="shared" si="10"/>
        <v>5.4600000000000009</v>
      </c>
      <c r="U32" s="1" t="str">
        <f t="shared" si="11"/>
        <v>Very high</v>
      </c>
      <c r="V32" s="1" t="s">
        <v>27</v>
      </c>
      <c r="AL32" s="1" t="s">
        <v>109</v>
      </c>
      <c r="AN32" s="2" t="s">
        <v>110</v>
      </c>
      <c r="AO32" s="8">
        <v>11444</v>
      </c>
      <c r="AP32" s="1">
        <f t="shared" si="12"/>
        <v>11444</v>
      </c>
    </row>
    <row r="33" spans="1:42" ht="12.6">
      <c r="A33" s="6" t="s">
        <v>111</v>
      </c>
      <c r="B33" s="1">
        <v>1500</v>
      </c>
      <c r="C33" s="1">
        <v>1800</v>
      </c>
      <c r="D33" s="1">
        <v>2100</v>
      </c>
      <c r="E33" s="1">
        <v>2400</v>
      </c>
      <c r="F33" s="1">
        <f t="shared" si="0"/>
        <v>7800</v>
      </c>
      <c r="G33" s="1">
        <f t="shared" si="1"/>
        <v>576956</v>
      </c>
      <c r="H33" s="1">
        <f t="shared" si="13"/>
        <v>1.3519228502693448</v>
      </c>
      <c r="I33" s="1">
        <f t="shared" si="3"/>
        <v>0.47</v>
      </c>
      <c r="J33" s="2">
        <f t="shared" si="4"/>
        <v>2150547</v>
      </c>
      <c r="K33" s="7">
        <f t="shared" si="5"/>
        <v>2.605255472273734</v>
      </c>
      <c r="L33" s="7">
        <f t="shared" si="6"/>
        <v>1.304974133496088</v>
      </c>
      <c r="M33" s="7">
        <f t="shared" si="7"/>
        <v>2.4631963148114453</v>
      </c>
      <c r="N33" s="7">
        <f t="shared" si="8"/>
        <v>0.85945076163274137</v>
      </c>
      <c r="O33" s="1">
        <v>3</v>
      </c>
      <c r="P33" s="1">
        <v>4</v>
      </c>
      <c r="Q33" s="1">
        <v>3</v>
      </c>
      <c r="R33" s="1">
        <v>2</v>
      </c>
      <c r="S33" s="1">
        <f t="shared" si="9"/>
        <v>1.5466051865413544</v>
      </c>
      <c r="T33" s="1">
        <f t="shared" si="10"/>
        <v>6.16</v>
      </c>
      <c r="U33" s="1" t="str">
        <f t="shared" si="11"/>
        <v>Very high</v>
      </c>
      <c r="V33" s="1" t="s">
        <v>27</v>
      </c>
      <c r="AL33" s="1" t="s">
        <v>112</v>
      </c>
      <c r="AN33" s="2" t="s">
        <v>113</v>
      </c>
      <c r="AO33" s="8">
        <v>22044</v>
      </c>
      <c r="AP33" s="1">
        <f t="shared" si="12"/>
        <v>22044</v>
      </c>
    </row>
    <row r="34" spans="1:42" ht="12.6">
      <c r="A34" s="6" t="s">
        <v>114</v>
      </c>
      <c r="B34" s="1">
        <v>6129</v>
      </c>
      <c r="C34" s="1">
        <v>7556</v>
      </c>
      <c r="D34" s="1">
        <v>8105</v>
      </c>
      <c r="E34" s="1">
        <v>7794</v>
      </c>
      <c r="F34" s="1">
        <f t="shared" si="0"/>
        <v>29584</v>
      </c>
      <c r="G34" s="1">
        <f t="shared" si="1"/>
        <v>1293177</v>
      </c>
      <c r="H34" s="1">
        <f t="shared" si="13"/>
        <v>2.2876992090023252</v>
      </c>
      <c r="I34" s="1">
        <f t="shared" si="3"/>
        <v>0.79</v>
      </c>
      <c r="J34" s="2">
        <f t="shared" si="4"/>
        <v>4521870</v>
      </c>
      <c r="K34" s="7">
        <f t="shared" si="5"/>
        <v>5.4779674949724093</v>
      </c>
      <c r="L34" s="7">
        <f t="shared" si="6"/>
        <v>2.7439174242794766</v>
      </c>
      <c r="M34" s="7">
        <f t="shared" si="7"/>
        <v>5.5209562268161188</v>
      </c>
      <c r="N34" s="7">
        <f t="shared" si="8"/>
        <v>1.9263547958179545</v>
      </c>
      <c r="O34" s="1">
        <v>5</v>
      </c>
      <c r="P34" s="1">
        <v>4</v>
      </c>
      <c r="Q34" s="1">
        <v>5</v>
      </c>
      <c r="R34" s="1">
        <v>2</v>
      </c>
      <c r="S34" s="1">
        <f t="shared" si="9"/>
        <v>3.157015326784359</v>
      </c>
      <c r="T34" s="1">
        <f t="shared" si="10"/>
        <v>8.32</v>
      </c>
      <c r="U34" s="1" t="str">
        <f t="shared" si="11"/>
        <v>high</v>
      </c>
      <c r="V34" s="1" t="s">
        <v>27</v>
      </c>
      <c r="AL34" s="1" t="s">
        <v>115</v>
      </c>
      <c r="AN34" s="2" t="s">
        <v>116</v>
      </c>
      <c r="AO34" s="8">
        <v>71364</v>
      </c>
      <c r="AP34" s="1">
        <f t="shared" si="12"/>
        <v>71364</v>
      </c>
    </row>
    <row r="35" spans="1:42" ht="12.6">
      <c r="A35" s="6" t="s">
        <v>117</v>
      </c>
      <c r="B35" s="1">
        <v>680</v>
      </c>
      <c r="C35" s="1">
        <v>830</v>
      </c>
      <c r="D35" s="1">
        <v>980</v>
      </c>
      <c r="E35" s="1">
        <v>1140</v>
      </c>
      <c r="F35" s="1">
        <f t="shared" si="0"/>
        <v>3630</v>
      </c>
      <c r="G35" s="1">
        <f t="shared" si="1"/>
        <v>284196</v>
      </c>
      <c r="H35" s="1">
        <f t="shared" si="13"/>
        <v>1.2772875058058524</v>
      </c>
      <c r="I35" s="1">
        <f t="shared" si="3"/>
        <v>0.44</v>
      </c>
      <c r="J35" s="2">
        <f t="shared" si="4"/>
        <v>902275</v>
      </c>
      <c r="K35" s="7">
        <f t="shared" si="5"/>
        <v>1.0930506895435363</v>
      </c>
      <c r="L35" s="7">
        <f t="shared" si="6"/>
        <v>0.54750978997444966</v>
      </c>
      <c r="M35" s="7">
        <f t="shared" si="7"/>
        <v>1.2133170291740678</v>
      </c>
      <c r="N35" s="7">
        <f t="shared" si="8"/>
        <v>0.42334678667520326</v>
      </c>
      <c r="O35" s="1">
        <v>2</v>
      </c>
      <c r="P35" s="1">
        <v>3</v>
      </c>
      <c r="Q35" s="1">
        <v>2</v>
      </c>
      <c r="R35" s="1">
        <v>3</v>
      </c>
      <c r="S35" s="1">
        <f t="shared" si="9"/>
        <v>0.91134666666242214</v>
      </c>
      <c r="T35" s="1">
        <f t="shared" si="10"/>
        <v>4.92</v>
      </c>
      <c r="U35" s="1" t="str">
        <f t="shared" ref="U35:U62" si="14">_xlfn.IFS(AND(S35 &gt; 3, T35 &gt; 7), "high", AND(S35 &gt; 1, S35 &lt; 3, T35 &gt; 7), "Very high", AND(S35 &gt; 3, T35 &gt; 4.8, T35 &lt; 7), "low", AND(S35 &gt; 1, S35 &lt; 3, T35 &gt; 4.8, T35 &lt; 7), "Very high", AND(S35 &gt; 1, S35 &lt; 3, T35 &lt; 4.8), "low", AND(S35 &gt; 3, T35 &lt; 4.8), "low", TRUE, "Very low")</f>
        <v>Very low</v>
      </c>
      <c r="AL35" s="1" t="s">
        <v>118</v>
      </c>
      <c r="AN35" s="2" t="s">
        <v>119</v>
      </c>
      <c r="AO35" s="8">
        <v>9060</v>
      </c>
      <c r="AP35" s="1">
        <f t="shared" si="12"/>
        <v>9060</v>
      </c>
    </row>
    <row r="36" spans="1:42" ht="12.6">
      <c r="A36" s="6" t="s">
        <v>120</v>
      </c>
      <c r="B36" s="8">
        <v>310</v>
      </c>
      <c r="C36" s="8">
        <v>390</v>
      </c>
      <c r="D36" s="8">
        <v>470</v>
      </c>
      <c r="E36" s="8">
        <v>550</v>
      </c>
      <c r="F36" s="8">
        <f t="shared" si="0"/>
        <v>1720</v>
      </c>
      <c r="G36" s="1">
        <f t="shared" si="1"/>
        <v>95383</v>
      </c>
      <c r="H36" s="1">
        <f t="shared" si="13"/>
        <v>1.803256345470367</v>
      </c>
      <c r="I36" s="1">
        <f t="shared" si="3"/>
        <v>0.62</v>
      </c>
      <c r="J36" s="2">
        <f t="shared" si="4"/>
        <v>349844</v>
      </c>
      <c r="K36" s="7">
        <f t="shared" si="5"/>
        <v>0.42381449716845626</v>
      </c>
      <c r="L36" s="7">
        <f t="shared" si="6"/>
        <v>0.21228895288445465</v>
      </c>
      <c r="M36" s="7">
        <f t="shared" si="7"/>
        <v>0.40721832184024448</v>
      </c>
      <c r="N36" s="7">
        <f t="shared" si="8"/>
        <v>0.14208534445749033</v>
      </c>
      <c r="O36" s="1">
        <v>3</v>
      </c>
      <c r="P36" s="1">
        <v>1</v>
      </c>
      <c r="Q36" s="1">
        <v>2</v>
      </c>
      <c r="R36" s="1">
        <v>3</v>
      </c>
      <c r="S36" s="1">
        <f t="shared" si="9"/>
        <v>0.74237532227402514</v>
      </c>
      <c r="T36" s="1">
        <f t="shared" si="10"/>
        <v>4.3800000000000008</v>
      </c>
      <c r="U36" s="1" t="str">
        <f t="shared" si="14"/>
        <v>Very low</v>
      </c>
      <c r="AL36" s="8">
        <v>95383</v>
      </c>
      <c r="AN36" s="2" t="s">
        <v>121</v>
      </c>
      <c r="AO36" s="8">
        <v>2572</v>
      </c>
      <c r="AP36" s="1">
        <f t="shared" si="12"/>
        <v>2572</v>
      </c>
    </row>
    <row r="37" spans="1:42" ht="12.6">
      <c r="A37" s="6" t="s">
        <v>122</v>
      </c>
      <c r="B37" s="8">
        <v>420</v>
      </c>
      <c r="C37" s="8">
        <v>520</v>
      </c>
      <c r="D37" s="8">
        <v>640</v>
      </c>
      <c r="E37" s="8">
        <v>760</v>
      </c>
      <c r="F37" s="8">
        <f t="shared" si="0"/>
        <v>2340</v>
      </c>
      <c r="G37" s="1">
        <f t="shared" si="1"/>
        <v>28188</v>
      </c>
      <c r="H37" s="1">
        <f t="shared" si="13"/>
        <v>8.3014048531289912</v>
      </c>
      <c r="I37" s="1">
        <f t="shared" si="3"/>
        <v>2.86</v>
      </c>
      <c r="J37" s="2">
        <f t="shared" si="4"/>
        <v>77801</v>
      </c>
      <c r="K37" s="7">
        <f t="shared" si="5"/>
        <v>9.4251128200578155E-2</v>
      </c>
      <c r="L37" s="7">
        <f t="shared" si="6"/>
        <v>4.7210450438948386E-2</v>
      </c>
      <c r="M37" s="7">
        <f t="shared" si="7"/>
        <v>0.12034293381454567</v>
      </c>
      <c r="N37" s="7">
        <f t="shared" si="8"/>
        <v>4.198968044166923E-2</v>
      </c>
      <c r="O37" s="1">
        <v>2</v>
      </c>
      <c r="P37" s="1">
        <v>1</v>
      </c>
      <c r="Q37" s="1">
        <v>2</v>
      </c>
      <c r="R37" s="1">
        <v>3</v>
      </c>
      <c r="S37" s="1">
        <f t="shared" si="9"/>
        <v>2.6222769564847477</v>
      </c>
      <c r="T37" s="1">
        <f t="shared" si="10"/>
        <v>3.8400000000000003</v>
      </c>
      <c r="U37" s="1" t="str">
        <f t="shared" si="14"/>
        <v>low</v>
      </c>
      <c r="AL37" s="8">
        <v>28188</v>
      </c>
      <c r="AN37" s="2">
        <v>77801</v>
      </c>
      <c r="AO37" s="8">
        <v>2410</v>
      </c>
      <c r="AP37" s="1">
        <f t="shared" si="12"/>
        <v>2410</v>
      </c>
    </row>
    <row r="38" spans="1:42" ht="12.6">
      <c r="A38" s="6" t="s">
        <v>123</v>
      </c>
      <c r="B38" s="1">
        <v>1400</v>
      </c>
      <c r="C38" s="1">
        <v>1680</v>
      </c>
      <c r="D38" s="1">
        <v>1950</v>
      </c>
      <c r="E38" s="1">
        <v>2250</v>
      </c>
      <c r="F38" s="1">
        <f t="shared" si="0"/>
        <v>7280</v>
      </c>
      <c r="G38" s="1">
        <f t="shared" si="1"/>
        <v>136870</v>
      </c>
      <c r="H38" s="1">
        <f t="shared" si="13"/>
        <v>5.3189157594797987</v>
      </c>
      <c r="I38" s="1">
        <f t="shared" si="3"/>
        <v>1.83</v>
      </c>
      <c r="J38" s="2">
        <f t="shared" si="4"/>
        <v>501449</v>
      </c>
      <c r="K38" s="7">
        <f t="shared" si="5"/>
        <v>0.60747463380999889</v>
      </c>
      <c r="L38" s="7">
        <f t="shared" si="6"/>
        <v>0.30428443287567292</v>
      </c>
      <c r="M38" s="7">
        <f t="shared" si="7"/>
        <v>0.58433863172970302</v>
      </c>
      <c r="N38" s="7">
        <f t="shared" si="8"/>
        <v>0.20388560955198201</v>
      </c>
      <c r="O38" s="1">
        <v>4</v>
      </c>
      <c r="P38" s="1">
        <v>2</v>
      </c>
      <c r="Q38" s="1">
        <v>3</v>
      </c>
      <c r="R38" s="1">
        <v>2</v>
      </c>
      <c r="S38" s="1">
        <f t="shared" si="9"/>
        <v>1.9114336998366566</v>
      </c>
      <c r="T38" s="1">
        <f t="shared" si="10"/>
        <v>5.62</v>
      </c>
      <c r="U38" s="1" t="str">
        <f t="shared" si="14"/>
        <v>Very high</v>
      </c>
      <c r="V38" s="1" t="s">
        <v>27</v>
      </c>
      <c r="AL38" s="1" t="s">
        <v>124</v>
      </c>
      <c r="AN38" s="2" t="s">
        <v>125</v>
      </c>
      <c r="AO38" s="8">
        <v>4987</v>
      </c>
      <c r="AP38" s="1">
        <f t="shared" si="12"/>
        <v>4987</v>
      </c>
    </row>
    <row r="39" spans="1:42" ht="12.6">
      <c r="A39" s="6" t="s">
        <v>126</v>
      </c>
      <c r="B39" s="1">
        <v>3132</v>
      </c>
      <c r="C39" s="1">
        <v>5736</v>
      </c>
      <c r="D39" s="1">
        <v>6289</v>
      </c>
      <c r="E39" s="1">
        <v>4227</v>
      </c>
      <c r="F39" s="1">
        <f t="shared" si="0"/>
        <v>19384</v>
      </c>
      <c r="G39" s="1">
        <f t="shared" si="1"/>
        <v>734380</v>
      </c>
      <c r="H39" s="1">
        <f t="shared" si="13"/>
        <v>2.6395054331544978</v>
      </c>
      <c r="I39" s="1">
        <f t="shared" si="3"/>
        <v>0.91</v>
      </c>
      <c r="J39" s="2">
        <f t="shared" si="4"/>
        <v>2572784</v>
      </c>
      <c r="K39" s="7">
        <f t="shared" si="5"/>
        <v>3.1167696381331385</v>
      </c>
      <c r="L39" s="7">
        <f t="shared" si="6"/>
        <v>1.5611919065580055</v>
      </c>
      <c r="M39" s="7">
        <f t="shared" si="7"/>
        <v>3.1352860697717491</v>
      </c>
      <c r="N39" s="7">
        <f t="shared" si="8"/>
        <v>1.0939542189141853</v>
      </c>
      <c r="O39" s="1">
        <v>5</v>
      </c>
      <c r="P39" s="1">
        <v>2</v>
      </c>
      <c r="Q39" s="1">
        <v>5</v>
      </c>
      <c r="R39" s="1">
        <v>2</v>
      </c>
      <c r="S39" s="1">
        <f t="shared" si="9"/>
        <v>2.2092447158631319</v>
      </c>
      <c r="T39" s="1">
        <f t="shared" si="10"/>
        <v>7.24</v>
      </c>
      <c r="U39" s="1" t="str">
        <f t="shared" si="14"/>
        <v>Very high</v>
      </c>
      <c r="V39" s="1" t="s">
        <v>27</v>
      </c>
      <c r="AL39" s="1" t="s">
        <v>127</v>
      </c>
      <c r="AN39" s="2" t="s">
        <v>128</v>
      </c>
      <c r="AO39" s="8">
        <v>40129</v>
      </c>
      <c r="AP39" s="1">
        <f t="shared" si="12"/>
        <v>40129</v>
      </c>
    </row>
    <row r="40" spans="1:42" ht="12.6">
      <c r="A40" s="6" t="s">
        <v>129</v>
      </c>
      <c r="B40" s="1">
        <v>980</v>
      </c>
      <c r="C40" s="1">
        <v>1180</v>
      </c>
      <c r="D40" s="1">
        <v>1380</v>
      </c>
      <c r="E40" s="1">
        <v>1580</v>
      </c>
      <c r="F40" s="1">
        <f t="shared" si="0"/>
        <v>5120</v>
      </c>
      <c r="G40" s="1">
        <f t="shared" si="1"/>
        <v>201246</v>
      </c>
      <c r="H40" s="1">
        <f t="shared" si="13"/>
        <v>2.5441499458374328</v>
      </c>
      <c r="I40" s="1">
        <f t="shared" si="3"/>
        <v>0.88</v>
      </c>
      <c r="J40" s="2">
        <f t="shared" si="4"/>
        <v>1097516</v>
      </c>
      <c r="K40" s="7">
        <f t="shared" si="5"/>
        <v>1.3295731573911098</v>
      </c>
      <c r="L40" s="7">
        <f t="shared" si="6"/>
        <v>0.66598404550009471</v>
      </c>
      <c r="M40" s="7">
        <f t="shared" si="7"/>
        <v>0.85917887251461822</v>
      </c>
      <c r="N40" s="7">
        <f t="shared" si="8"/>
        <v>0.29978200759770707</v>
      </c>
      <c r="O40" s="1">
        <v>5</v>
      </c>
      <c r="P40" s="1">
        <v>2</v>
      </c>
      <c r="Q40" s="1">
        <v>3</v>
      </c>
      <c r="R40" s="1">
        <v>2</v>
      </c>
      <c r="S40" s="1">
        <f t="shared" si="9"/>
        <v>1.2682410235184327</v>
      </c>
      <c r="T40" s="1">
        <f t="shared" si="10"/>
        <v>6.16</v>
      </c>
      <c r="U40" s="1" t="str">
        <f t="shared" si="14"/>
        <v>Very high</v>
      </c>
      <c r="V40" s="1" t="s">
        <v>27</v>
      </c>
      <c r="AL40" s="1" t="s">
        <v>130</v>
      </c>
      <c r="AN40" s="2" t="s">
        <v>131</v>
      </c>
      <c r="AO40" s="8">
        <v>11259</v>
      </c>
      <c r="AP40" s="1">
        <f t="shared" si="12"/>
        <v>11259</v>
      </c>
    </row>
    <row r="41" spans="1:42" ht="12.6">
      <c r="A41" s="6" t="s">
        <v>132</v>
      </c>
      <c r="B41" s="1">
        <v>1350</v>
      </c>
      <c r="C41" s="1">
        <v>1600</v>
      </c>
      <c r="D41" s="1">
        <v>1860</v>
      </c>
      <c r="E41" s="1">
        <v>2120</v>
      </c>
      <c r="F41" s="1">
        <f t="shared" si="0"/>
        <v>6930</v>
      </c>
      <c r="G41" s="1">
        <f t="shared" si="1"/>
        <v>568536</v>
      </c>
      <c r="H41" s="1">
        <f t="shared" si="13"/>
        <v>1.218920173920385</v>
      </c>
      <c r="I41" s="1">
        <f t="shared" si="3"/>
        <v>0.42</v>
      </c>
      <c r="J41" s="2">
        <f t="shared" si="4"/>
        <v>2167393</v>
      </c>
      <c r="K41" s="7">
        <f t="shared" si="5"/>
        <v>2.6256633655613131</v>
      </c>
      <c r="L41" s="7">
        <f t="shared" si="6"/>
        <v>1.3151964603054416</v>
      </c>
      <c r="M41" s="7">
        <f t="shared" si="7"/>
        <v>2.4272488370649405</v>
      </c>
      <c r="N41" s="7">
        <f t="shared" si="8"/>
        <v>0.84690808001932949</v>
      </c>
      <c r="O41" s="1">
        <v>3</v>
      </c>
      <c r="P41" s="1">
        <v>2</v>
      </c>
      <c r="Q41" s="1">
        <v>3</v>
      </c>
      <c r="R41" s="1">
        <v>3</v>
      </c>
      <c r="S41" s="1">
        <f t="shared" si="9"/>
        <v>1.4969142401357072</v>
      </c>
      <c r="T41" s="1">
        <f t="shared" si="10"/>
        <v>5.4600000000000009</v>
      </c>
      <c r="U41" s="1" t="str">
        <f t="shared" si="14"/>
        <v>Very high</v>
      </c>
      <c r="V41" s="1" t="s">
        <v>27</v>
      </c>
      <c r="AL41" s="1" t="s">
        <v>133</v>
      </c>
      <c r="AN41" s="2" t="s">
        <v>134</v>
      </c>
      <c r="AO41" s="8">
        <v>12717</v>
      </c>
      <c r="AP41" s="1">
        <f t="shared" si="12"/>
        <v>12717</v>
      </c>
    </row>
    <row r="42" spans="1:42" ht="12.6">
      <c r="A42" s="6" t="s">
        <v>135</v>
      </c>
      <c r="B42" s="1">
        <v>600</v>
      </c>
      <c r="C42" s="1">
        <v>740</v>
      </c>
      <c r="D42" s="1">
        <v>880</v>
      </c>
      <c r="E42" s="1">
        <v>1020</v>
      </c>
      <c r="F42" s="1">
        <f t="shared" si="0"/>
        <v>3240</v>
      </c>
      <c r="G42" s="1">
        <f t="shared" si="1"/>
        <v>160613</v>
      </c>
      <c r="H42" s="1">
        <f t="shared" si="13"/>
        <v>2.0172713292199265</v>
      </c>
      <c r="I42" s="1">
        <f t="shared" si="3"/>
        <v>0.69</v>
      </c>
      <c r="J42" s="2">
        <f t="shared" si="4"/>
        <v>614233</v>
      </c>
      <c r="K42" s="7">
        <f t="shared" si="5"/>
        <v>0.74410551571349637</v>
      </c>
      <c r="L42" s="7">
        <f t="shared" si="6"/>
        <v>0.3727229290686056</v>
      </c>
      <c r="M42" s="7">
        <f t="shared" si="7"/>
        <v>0.685704541959544</v>
      </c>
      <c r="N42" s="7">
        <f t="shared" si="8"/>
        <v>0.23925388622030017</v>
      </c>
      <c r="O42" s="1">
        <v>3</v>
      </c>
      <c r="P42" s="1">
        <v>1</v>
      </c>
      <c r="Q42" s="1">
        <v>2</v>
      </c>
      <c r="R42" s="1">
        <v>3</v>
      </c>
      <c r="S42" s="1">
        <f t="shared" si="9"/>
        <v>0.93756689198165233</v>
      </c>
      <c r="T42" s="1">
        <f t="shared" si="10"/>
        <v>4.3800000000000008</v>
      </c>
      <c r="U42" s="1" t="str">
        <f t="shared" si="14"/>
        <v>Very low</v>
      </c>
      <c r="AL42" s="1" t="s">
        <v>136</v>
      </c>
      <c r="AN42" s="2" t="s">
        <v>137</v>
      </c>
      <c r="AO42" s="8">
        <v>4885</v>
      </c>
      <c r="AP42" s="1">
        <f t="shared" si="12"/>
        <v>4885</v>
      </c>
    </row>
    <row r="43" spans="1:42" ht="12.6">
      <c r="A43" s="6" t="s">
        <v>138</v>
      </c>
      <c r="B43" s="8">
        <v>520</v>
      </c>
      <c r="C43" s="8">
        <v>650</v>
      </c>
      <c r="D43" s="8">
        <v>780</v>
      </c>
      <c r="E43" s="8">
        <v>910</v>
      </c>
      <c r="F43" s="8">
        <f t="shared" si="0"/>
        <v>2860</v>
      </c>
      <c r="G43" s="1">
        <f t="shared" si="1"/>
        <v>80609</v>
      </c>
      <c r="H43" s="1">
        <f t="shared" si="13"/>
        <v>3.5479909191281371</v>
      </c>
      <c r="I43" s="1">
        <f t="shared" si="3"/>
        <v>1.22</v>
      </c>
      <c r="J43" s="2">
        <f t="shared" si="4"/>
        <v>423485</v>
      </c>
      <c r="K43" s="7">
        <f t="shared" si="5"/>
        <v>0.51302604113085748</v>
      </c>
      <c r="L43" s="7">
        <f t="shared" si="6"/>
        <v>0.25697507235302958</v>
      </c>
      <c r="M43" s="7">
        <f t="shared" si="7"/>
        <v>0.34414373321472658</v>
      </c>
      <c r="N43" s="7">
        <f t="shared" si="8"/>
        <v>0.12007755607785282</v>
      </c>
      <c r="O43" s="1">
        <v>2</v>
      </c>
      <c r="P43" s="1">
        <v>1</v>
      </c>
      <c r="Q43" s="1">
        <v>2</v>
      </c>
      <c r="R43" s="1">
        <v>3</v>
      </c>
      <c r="S43" s="1">
        <f t="shared" si="9"/>
        <v>1.284844318195709</v>
      </c>
      <c r="T43" s="1">
        <f t="shared" si="10"/>
        <v>3.8400000000000003</v>
      </c>
      <c r="U43" s="1" t="str">
        <f t="shared" si="14"/>
        <v>low</v>
      </c>
      <c r="AL43" s="8">
        <v>80609</v>
      </c>
      <c r="AN43" s="2" t="s">
        <v>139</v>
      </c>
      <c r="AO43" s="8">
        <v>5906</v>
      </c>
      <c r="AP43" s="1">
        <f t="shared" si="12"/>
        <v>5906</v>
      </c>
    </row>
    <row r="44" spans="1:42" ht="12.6">
      <c r="A44" s="6" t="s">
        <v>140</v>
      </c>
      <c r="B44" s="1">
        <v>1800</v>
      </c>
      <c r="C44" s="1">
        <v>2150</v>
      </c>
      <c r="D44" s="1">
        <v>2500</v>
      </c>
      <c r="E44" s="1">
        <v>2850</v>
      </c>
      <c r="F44" s="1">
        <f t="shared" si="0"/>
        <v>9300</v>
      </c>
      <c r="G44" s="1">
        <f t="shared" si="1"/>
        <v>584899</v>
      </c>
      <c r="H44" s="1">
        <f t="shared" si="13"/>
        <v>1.5900181056900422</v>
      </c>
      <c r="I44" s="1">
        <f t="shared" si="3"/>
        <v>0.55000000000000004</v>
      </c>
      <c r="J44" s="2">
        <f t="shared" si="4"/>
        <v>2093094</v>
      </c>
      <c r="K44" s="7">
        <f t="shared" si="5"/>
        <v>2.5356546950535463</v>
      </c>
      <c r="L44" s="7">
        <f t="shared" si="6"/>
        <v>1.2701110596401106</v>
      </c>
      <c r="M44" s="7">
        <f t="shared" si="7"/>
        <v>2.4971073380585342</v>
      </c>
      <c r="N44" s="7">
        <f t="shared" si="8"/>
        <v>0.87128288990534608</v>
      </c>
      <c r="O44" s="1">
        <v>4</v>
      </c>
      <c r="P44" s="1">
        <v>3</v>
      </c>
      <c r="Q44" s="1">
        <v>4</v>
      </c>
      <c r="R44" s="1">
        <v>2</v>
      </c>
      <c r="S44" s="1">
        <f t="shared" si="9"/>
        <v>1.6129424467897866</v>
      </c>
      <c r="T44" s="1">
        <f t="shared" si="10"/>
        <v>6.7</v>
      </c>
      <c r="U44" s="1" t="str">
        <f t="shared" si="14"/>
        <v>Very high</v>
      </c>
      <c r="V44" s="1" t="s">
        <v>27</v>
      </c>
      <c r="AL44" s="1" t="s">
        <v>141</v>
      </c>
      <c r="AN44" s="2" t="s">
        <v>142</v>
      </c>
      <c r="AO44" s="8">
        <v>19716</v>
      </c>
      <c r="AP44" s="1">
        <f t="shared" si="12"/>
        <v>19716</v>
      </c>
    </row>
    <row r="45" spans="1:42" ht="12.6">
      <c r="A45" s="6" t="s">
        <v>143</v>
      </c>
      <c r="B45" s="1">
        <v>260</v>
      </c>
      <c r="C45" s="1">
        <v>330</v>
      </c>
      <c r="D45" s="1">
        <v>400</v>
      </c>
      <c r="E45" s="1">
        <v>470</v>
      </c>
      <c r="F45" s="1">
        <f t="shared" si="0"/>
        <v>1460</v>
      </c>
      <c r="G45" s="1">
        <f t="shared" si="1"/>
        <v>125300</v>
      </c>
      <c r="H45" s="1">
        <f t="shared" si="13"/>
        <v>1.1652035115722266</v>
      </c>
      <c r="I45" s="1">
        <f t="shared" si="3"/>
        <v>0.4</v>
      </c>
      <c r="J45" s="2">
        <f t="shared" si="4"/>
        <v>453377</v>
      </c>
      <c r="K45" s="7">
        <f t="shared" si="5"/>
        <v>0.54923836133460402</v>
      </c>
      <c r="L45" s="7">
        <f t="shared" si="6"/>
        <v>0.27511384671995354</v>
      </c>
      <c r="M45" s="7">
        <f t="shared" si="7"/>
        <v>0.53494286955309256</v>
      </c>
      <c r="N45" s="7">
        <f t="shared" si="8"/>
        <v>0.18665059455588034</v>
      </c>
      <c r="O45" s="1">
        <v>4</v>
      </c>
      <c r="P45" s="1">
        <v>2</v>
      </c>
      <c r="Q45" s="1">
        <v>2</v>
      </c>
      <c r="R45" s="1">
        <v>5</v>
      </c>
      <c r="S45" s="1">
        <f t="shared" si="9"/>
        <v>0.60070095487709774</v>
      </c>
      <c r="T45" s="1">
        <f t="shared" si="10"/>
        <v>6.2200000000000006</v>
      </c>
      <c r="U45" s="1" t="str">
        <f t="shared" si="14"/>
        <v>Very low</v>
      </c>
      <c r="AL45" s="1" t="s">
        <v>144</v>
      </c>
      <c r="AN45" s="2" t="s">
        <v>145</v>
      </c>
      <c r="AO45" s="8">
        <v>2939</v>
      </c>
      <c r="AP45" s="1">
        <f t="shared" si="12"/>
        <v>2939</v>
      </c>
    </row>
    <row r="46" spans="1:42" ht="12.6">
      <c r="A46" s="6" t="s">
        <v>146</v>
      </c>
      <c r="B46" s="8">
        <v>250</v>
      </c>
      <c r="C46" s="8">
        <v>310</v>
      </c>
      <c r="D46" s="8">
        <v>380</v>
      </c>
      <c r="E46" s="8">
        <v>450</v>
      </c>
      <c r="F46" s="8">
        <f t="shared" si="0"/>
        <v>1390</v>
      </c>
      <c r="G46" s="1">
        <f t="shared" si="1"/>
        <v>37889</v>
      </c>
      <c r="H46" s="1">
        <f t="shared" si="13"/>
        <v>3.6686109424899049</v>
      </c>
      <c r="I46" s="1">
        <f t="shared" si="3"/>
        <v>1.26</v>
      </c>
      <c r="J46" s="2">
        <f t="shared" si="4"/>
        <v>74399</v>
      </c>
      <c r="K46" s="7">
        <f t="shared" si="5"/>
        <v>9.0129814359645954E-2</v>
      </c>
      <c r="L46" s="7">
        <f t="shared" si="6"/>
        <v>4.5146081698272791E-2</v>
      </c>
      <c r="M46" s="7">
        <f t="shared" si="7"/>
        <v>0.1617593805626267</v>
      </c>
      <c r="N46" s="7">
        <f t="shared" si="8"/>
        <v>5.6440577630708304E-2</v>
      </c>
      <c r="O46" s="1">
        <v>3</v>
      </c>
      <c r="P46" s="1">
        <v>1</v>
      </c>
      <c r="Q46" s="1">
        <v>2</v>
      </c>
      <c r="R46" s="1">
        <v>4</v>
      </c>
      <c r="S46" s="1">
        <f t="shared" si="9"/>
        <v>1.191566837020805</v>
      </c>
      <c r="T46" s="1">
        <f t="shared" si="10"/>
        <v>4.76</v>
      </c>
      <c r="U46" s="1" t="str">
        <f t="shared" si="14"/>
        <v>low</v>
      </c>
      <c r="AL46" s="8">
        <v>37889</v>
      </c>
      <c r="AN46" s="2">
        <v>74399</v>
      </c>
      <c r="AO46" s="8">
        <v>1317</v>
      </c>
      <c r="AP46" s="1">
        <f t="shared" si="12"/>
        <v>1317</v>
      </c>
    </row>
    <row r="47" spans="1:42" ht="12.6">
      <c r="A47" s="6" t="s">
        <v>147</v>
      </c>
      <c r="B47" s="8">
        <v>220</v>
      </c>
      <c r="C47" s="8">
        <v>280</v>
      </c>
      <c r="D47" s="8">
        <v>340</v>
      </c>
      <c r="E47" s="8">
        <v>400</v>
      </c>
      <c r="F47" s="8">
        <f t="shared" si="0"/>
        <v>1240</v>
      </c>
      <c r="G47" s="1">
        <f t="shared" si="1"/>
        <v>30178</v>
      </c>
      <c r="H47" s="1">
        <f t="shared" si="13"/>
        <v>4.1089535423155947</v>
      </c>
      <c r="I47" s="1">
        <f t="shared" si="3"/>
        <v>1.41</v>
      </c>
      <c r="J47" s="2">
        <f t="shared" si="4"/>
        <v>56990</v>
      </c>
      <c r="K47" s="7">
        <f t="shared" si="5"/>
        <v>6.9039881185986682E-2</v>
      </c>
      <c r="L47" s="7">
        <f t="shared" si="6"/>
        <v>3.458212067345752E-2</v>
      </c>
      <c r="M47" s="7">
        <f t="shared" si="7"/>
        <v>0.12883883413705688</v>
      </c>
      <c r="N47" s="7">
        <f t="shared" si="8"/>
        <v>4.4954043435812899E-2</v>
      </c>
      <c r="O47" s="1">
        <v>3</v>
      </c>
      <c r="P47" s="1">
        <v>2</v>
      </c>
      <c r="Q47" s="1">
        <v>2</v>
      </c>
      <c r="R47" s="1">
        <v>5</v>
      </c>
      <c r="S47" s="1">
        <f t="shared" si="9"/>
        <v>1.314300678674452</v>
      </c>
      <c r="T47" s="1">
        <f t="shared" si="10"/>
        <v>5.68</v>
      </c>
      <c r="U47" s="1" t="str">
        <f t="shared" si="14"/>
        <v>Very high</v>
      </c>
      <c r="V47" s="1" t="s">
        <v>27</v>
      </c>
      <c r="AL47" s="8">
        <v>30178</v>
      </c>
      <c r="AN47" s="2">
        <v>56990</v>
      </c>
      <c r="AO47" s="1">
        <v>801</v>
      </c>
      <c r="AP47" s="1">
        <f t="shared" si="12"/>
        <v>801</v>
      </c>
    </row>
    <row r="48" spans="1:42" ht="12.6">
      <c r="A48" s="6" t="s">
        <v>148</v>
      </c>
      <c r="B48" s="1">
        <v>720</v>
      </c>
      <c r="C48" s="1">
        <v>890</v>
      </c>
      <c r="D48" s="1">
        <v>1060</v>
      </c>
      <c r="E48" s="1">
        <v>1220</v>
      </c>
      <c r="F48" s="1">
        <f t="shared" si="0"/>
        <v>3890</v>
      </c>
      <c r="G48" s="1">
        <f t="shared" si="1"/>
        <v>213557</v>
      </c>
      <c r="H48" s="1">
        <f t="shared" si="13"/>
        <v>1.8215277420079885</v>
      </c>
      <c r="I48" s="1">
        <f t="shared" si="3"/>
        <v>0.63</v>
      </c>
      <c r="J48" s="2">
        <f t="shared" si="4"/>
        <v>622060</v>
      </c>
      <c r="K48" s="7">
        <f t="shared" si="5"/>
        <v>0.75358744500008545</v>
      </c>
      <c r="L48" s="7">
        <f t="shared" si="6"/>
        <v>0.37747243351695003</v>
      </c>
      <c r="M48" s="7">
        <f t="shared" si="7"/>
        <v>0.91173818350478686</v>
      </c>
      <c r="N48" s="7">
        <f t="shared" si="8"/>
        <v>0.31812083816097481</v>
      </c>
      <c r="O48" s="1">
        <v>2</v>
      </c>
      <c r="P48" s="1">
        <v>2</v>
      </c>
      <c r="Q48" s="1">
        <v>2</v>
      </c>
      <c r="R48" s="1">
        <v>3</v>
      </c>
      <c r="S48" s="1">
        <f t="shared" si="9"/>
        <v>0.94067356011946246</v>
      </c>
      <c r="T48" s="1">
        <f t="shared" si="10"/>
        <v>4.3800000000000008</v>
      </c>
      <c r="U48" s="1" t="str">
        <f t="shared" si="14"/>
        <v>Very low</v>
      </c>
      <c r="AL48" s="1" t="s">
        <v>149</v>
      </c>
      <c r="AN48" s="2" t="s">
        <v>150</v>
      </c>
      <c r="AO48" s="8">
        <v>2886</v>
      </c>
      <c r="AP48" s="1">
        <f t="shared" si="12"/>
        <v>2886</v>
      </c>
    </row>
    <row r="49" spans="1:42" ht="12.6">
      <c r="A49" s="6" t="s">
        <v>151</v>
      </c>
      <c r="B49" s="1">
        <v>1100</v>
      </c>
      <c r="C49" s="1">
        <v>1350</v>
      </c>
      <c r="D49" s="1">
        <v>1600</v>
      </c>
      <c r="E49" s="1">
        <v>1850</v>
      </c>
      <c r="F49" s="1">
        <f t="shared" si="0"/>
        <v>5900</v>
      </c>
      <c r="G49" s="1">
        <f t="shared" si="1"/>
        <v>344323</v>
      </c>
      <c r="H49" s="1">
        <f t="shared" si="13"/>
        <v>1.7135073753423384</v>
      </c>
      <c r="I49" s="1">
        <f t="shared" si="3"/>
        <v>0.59</v>
      </c>
      <c r="J49" s="2">
        <f t="shared" si="4"/>
        <v>1236589</v>
      </c>
      <c r="K49" s="7">
        <f t="shared" si="5"/>
        <v>1.4980515465151445</v>
      </c>
      <c r="L49" s="7">
        <f t="shared" si="6"/>
        <v>0.750374978443063</v>
      </c>
      <c r="M49" s="7">
        <f t="shared" si="7"/>
        <v>1.4700170285165963</v>
      </c>
      <c r="N49" s="7">
        <f t="shared" si="8"/>
        <v>0.51291374835805581</v>
      </c>
      <c r="O49" s="1">
        <v>3</v>
      </c>
      <c r="P49" s="1">
        <v>3</v>
      </c>
      <c r="Q49" s="1">
        <v>3</v>
      </c>
      <c r="R49" s="1">
        <v>2</v>
      </c>
      <c r="S49" s="1">
        <f t="shared" si="9"/>
        <v>1.1901896152278644</v>
      </c>
      <c r="T49" s="1">
        <f t="shared" si="10"/>
        <v>5.62</v>
      </c>
      <c r="U49" s="1" t="str">
        <f t="shared" si="14"/>
        <v>Very high</v>
      </c>
      <c r="V49" s="1" t="s">
        <v>27</v>
      </c>
      <c r="AL49" s="1" t="s">
        <v>152</v>
      </c>
      <c r="AN49" s="2" t="s">
        <v>153</v>
      </c>
      <c r="AO49" s="8">
        <v>9371</v>
      </c>
      <c r="AP49" s="1">
        <f t="shared" si="12"/>
        <v>9371</v>
      </c>
    </row>
    <row r="50" spans="1:42" ht="12.6">
      <c r="A50" s="6" t="s">
        <v>154</v>
      </c>
      <c r="B50" s="1">
        <v>780</v>
      </c>
      <c r="C50" s="1">
        <v>960</v>
      </c>
      <c r="D50" s="1">
        <v>1150</v>
      </c>
      <c r="E50" s="1">
        <v>1330</v>
      </c>
      <c r="F50" s="1">
        <f t="shared" si="0"/>
        <v>4220</v>
      </c>
      <c r="G50" s="1">
        <f t="shared" si="1"/>
        <v>115106</v>
      </c>
      <c r="H50" s="1">
        <f t="shared" si="13"/>
        <v>3.6661859503414247</v>
      </c>
      <c r="I50" s="1">
        <f t="shared" si="3"/>
        <v>1.26</v>
      </c>
      <c r="J50" s="2">
        <f t="shared" si="4"/>
        <v>497419</v>
      </c>
      <c r="K50" s="7">
        <f t="shared" si="5"/>
        <v>0.60259253657926493</v>
      </c>
      <c r="L50" s="7">
        <f t="shared" si="6"/>
        <v>0.30183898724812364</v>
      </c>
      <c r="M50" s="7">
        <f t="shared" si="7"/>
        <v>0.49142165955928391</v>
      </c>
      <c r="N50" s="7">
        <f t="shared" si="8"/>
        <v>0.17146530995170922</v>
      </c>
      <c r="O50" s="1">
        <v>4</v>
      </c>
      <c r="P50" s="1">
        <v>2</v>
      </c>
      <c r="Q50" s="1">
        <v>3</v>
      </c>
      <c r="R50" s="1">
        <v>2</v>
      </c>
      <c r="S50" s="1">
        <f t="shared" si="9"/>
        <v>1.374761311865446</v>
      </c>
      <c r="T50" s="1">
        <f t="shared" si="10"/>
        <v>5.62</v>
      </c>
      <c r="U50" s="1" t="str">
        <f t="shared" si="14"/>
        <v>Very high</v>
      </c>
      <c r="V50" s="1" t="s">
        <v>27</v>
      </c>
      <c r="AL50" s="1" t="s">
        <v>155</v>
      </c>
      <c r="AN50" s="2" t="s">
        <v>156</v>
      </c>
      <c r="AO50" s="8">
        <v>5654</v>
      </c>
      <c r="AP50" s="1">
        <f t="shared" si="12"/>
        <v>5654</v>
      </c>
    </row>
    <row r="51" spans="1:42" ht="12.6">
      <c r="A51" s="6" t="s">
        <v>157</v>
      </c>
      <c r="B51" s="8">
        <v>540</v>
      </c>
      <c r="C51" s="8">
        <v>670</v>
      </c>
      <c r="D51" s="8">
        <v>800</v>
      </c>
      <c r="E51" s="8">
        <v>930</v>
      </c>
      <c r="F51" s="8">
        <f t="shared" si="0"/>
        <v>2940</v>
      </c>
      <c r="G51" s="1">
        <f t="shared" si="1"/>
        <v>20238</v>
      </c>
      <c r="H51" s="1">
        <f t="shared" si="13"/>
        <v>14.527127186480879</v>
      </c>
      <c r="I51" s="1">
        <f t="shared" si="3"/>
        <v>5</v>
      </c>
      <c r="J51" s="2">
        <f t="shared" si="4"/>
        <v>55964</v>
      </c>
      <c r="K51" s="7">
        <f t="shared" si="5"/>
        <v>6.7796945265705538E-2</v>
      </c>
      <c r="L51" s="7">
        <f t="shared" si="6"/>
        <v>3.3959533275475989E-2</v>
      </c>
      <c r="M51" s="7">
        <f t="shared" si="7"/>
        <v>8.6402025490945639E-2</v>
      </c>
      <c r="N51" s="7">
        <f t="shared" si="8"/>
        <v>3.0147124761547538E-2</v>
      </c>
      <c r="O51" s="1">
        <v>2</v>
      </c>
      <c r="P51" s="1">
        <v>1</v>
      </c>
      <c r="Q51" s="1">
        <v>2</v>
      </c>
      <c r="R51" s="1">
        <v>3</v>
      </c>
      <c r="S51" s="1">
        <f t="shared" si="9"/>
        <v>4.5346868006432732</v>
      </c>
      <c r="T51" s="1">
        <f t="shared" si="10"/>
        <v>3.8400000000000003</v>
      </c>
      <c r="U51" s="1" t="str">
        <f t="shared" si="14"/>
        <v>low</v>
      </c>
      <c r="AL51" s="8">
        <v>20238</v>
      </c>
      <c r="AN51" s="2">
        <v>55964</v>
      </c>
      <c r="AO51" s="1">
        <v>312</v>
      </c>
      <c r="AP51" s="1">
        <f t="shared" si="12"/>
        <v>312</v>
      </c>
    </row>
    <row r="52" spans="1:42" ht="12.6">
      <c r="A52" s="6" t="s">
        <v>158</v>
      </c>
      <c r="B52" s="1">
        <v>620</v>
      </c>
      <c r="C52" s="1">
        <v>760</v>
      </c>
      <c r="D52" s="1">
        <v>920</v>
      </c>
      <c r="E52" s="1">
        <v>1100</v>
      </c>
      <c r="F52" s="1">
        <f t="shared" si="0"/>
        <v>3400</v>
      </c>
      <c r="G52" s="1">
        <f t="shared" si="1"/>
        <v>178915</v>
      </c>
      <c r="H52" s="1">
        <f t="shared" si="13"/>
        <v>1.9003437386468436</v>
      </c>
      <c r="I52" s="1">
        <f t="shared" si="3"/>
        <v>0.65</v>
      </c>
      <c r="J52" s="2">
        <f t="shared" si="4"/>
        <v>604208</v>
      </c>
      <c r="K52" s="7">
        <f t="shared" si="5"/>
        <v>0.73196084456260113</v>
      </c>
      <c r="L52" s="7">
        <f t="shared" si="6"/>
        <v>0.3666396555162032</v>
      </c>
      <c r="M52" s="7">
        <f t="shared" si="7"/>
        <v>0.76384120914678022</v>
      </c>
      <c r="N52" s="7">
        <f t="shared" si="8"/>
        <v>0.26651708798855012</v>
      </c>
      <c r="O52" s="1">
        <v>3</v>
      </c>
      <c r="P52" s="1">
        <v>2</v>
      </c>
      <c r="Q52" s="1">
        <v>3</v>
      </c>
      <c r="R52" s="1">
        <v>2</v>
      </c>
      <c r="S52" s="1">
        <f t="shared" si="9"/>
        <v>0.91821782379846639</v>
      </c>
      <c r="T52" s="1">
        <f t="shared" si="10"/>
        <v>5.08</v>
      </c>
      <c r="U52" s="1" t="str">
        <f t="shared" si="14"/>
        <v>Very low</v>
      </c>
      <c r="AL52" s="1" t="s">
        <v>159</v>
      </c>
      <c r="AN52" s="2" t="s">
        <v>160</v>
      </c>
      <c r="AO52" s="8">
        <v>5341</v>
      </c>
      <c r="AP52" s="1">
        <f t="shared" si="12"/>
        <v>5341</v>
      </c>
    </row>
    <row r="53" spans="1:42" ht="12.6">
      <c r="A53" s="6" t="s">
        <v>161</v>
      </c>
      <c r="B53" s="1">
        <v>740</v>
      </c>
      <c r="C53" s="1">
        <v>900</v>
      </c>
      <c r="D53" s="1">
        <v>1080</v>
      </c>
      <c r="E53" s="1">
        <v>1250</v>
      </c>
      <c r="F53" s="1">
        <f t="shared" si="0"/>
        <v>3970</v>
      </c>
      <c r="G53" s="1">
        <f t="shared" si="1"/>
        <v>119858</v>
      </c>
      <c r="H53" s="1">
        <f t="shared" si="13"/>
        <v>3.3122528325184799</v>
      </c>
      <c r="I53" s="1">
        <f t="shared" si="3"/>
        <v>1.1399999999999999</v>
      </c>
      <c r="J53" s="2">
        <f t="shared" si="4"/>
        <v>586993</v>
      </c>
      <c r="K53" s="7">
        <f t="shared" si="5"/>
        <v>0.71110593046158765</v>
      </c>
      <c r="L53" s="7">
        <f t="shared" si="6"/>
        <v>0.35619341569529478</v>
      </c>
      <c r="M53" s="7">
        <f t="shared" si="7"/>
        <v>0.51170935721384336</v>
      </c>
      <c r="N53" s="7">
        <f t="shared" si="8"/>
        <v>0.17854403002616687</v>
      </c>
      <c r="O53" s="1">
        <v>3</v>
      </c>
      <c r="P53" s="1">
        <v>2</v>
      </c>
      <c r="Q53" s="1">
        <v>3</v>
      </c>
      <c r="R53" s="1">
        <v>2</v>
      </c>
      <c r="S53" s="1">
        <f t="shared" si="9"/>
        <v>1.2934581872964348</v>
      </c>
      <c r="T53" s="1">
        <f t="shared" si="10"/>
        <v>5.08</v>
      </c>
      <c r="U53" s="1" t="str">
        <f t="shared" si="14"/>
        <v>Very high</v>
      </c>
      <c r="V53" s="1" t="s">
        <v>27</v>
      </c>
      <c r="AL53" s="1" t="s">
        <v>162</v>
      </c>
      <c r="AN53" s="2" t="s">
        <v>163</v>
      </c>
      <c r="AO53" s="8">
        <v>4446</v>
      </c>
      <c r="AP53" s="1">
        <f t="shared" si="12"/>
        <v>4446</v>
      </c>
    </row>
    <row r="54" spans="1:42" ht="12.6">
      <c r="A54" s="6" t="s">
        <v>164</v>
      </c>
      <c r="B54" s="8">
        <v>180</v>
      </c>
      <c r="C54" s="8">
        <v>230</v>
      </c>
      <c r="D54" s="8">
        <v>290</v>
      </c>
      <c r="E54" s="8">
        <v>350</v>
      </c>
      <c r="F54" s="8">
        <f t="shared" si="0"/>
        <v>1050</v>
      </c>
      <c r="G54" s="1">
        <f t="shared" si="1"/>
        <v>31543</v>
      </c>
      <c r="H54" s="1">
        <f t="shared" si="13"/>
        <v>3.3287892717877181</v>
      </c>
      <c r="I54" s="1">
        <f t="shared" si="3"/>
        <v>1.1499999999999999</v>
      </c>
      <c r="J54" s="2">
        <f t="shared" si="4"/>
        <v>81039</v>
      </c>
      <c r="K54" s="7">
        <f t="shared" si="5"/>
        <v>9.8173766124428408E-2</v>
      </c>
      <c r="L54" s="7">
        <f t="shared" si="6"/>
        <v>4.9175302285599652E-2</v>
      </c>
      <c r="M54" s="7">
        <f t="shared" si="7"/>
        <v>0.13466642405676935</v>
      </c>
      <c r="N54" s="7">
        <f t="shared" si="8"/>
        <v>4.6987387901645118E-2</v>
      </c>
      <c r="O54" s="1">
        <v>2</v>
      </c>
      <c r="P54" s="1">
        <v>3</v>
      </c>
      <c r="Q54" s="1">
        <v>2</v>
      </c>
      <c r="R54" s="1">
        <v>3</v>
      </c>
      <c r="S54" s="1">
        <f t="shared" si="9"/>
        <v>1.0875612924453915</v>
      </c>
      <c r="T54" s="1">
        <f t="shared" si="10"/>
        <v>4.92</v>
      </c>
      <c r="U54" s="1" t="str">
        <f t="shared" si="14"/>
        <v>Very high</v>
      </c>
      <c r="V54" s="1" t="s">
        <v>27</v>
      </c>
      <c r="AL54" s="8">
        <v>31543</v>
      </c>
      <c r="AN54" s="2">
        <v>81039</v>
      </c>
      <c r="AO54" s="8">
        <v>1698</v>
      </c>
      <c r="AP54" s="1">
        <f t="shared" si="12"/>
        <v>1698</v>
      </c>
    </row>
    <row r="55" spans="1:42" ht="12.6">
      <c r="A55" s="6" t="s">
        <v>165</v>
      </c>
      <c r="B55" s="1">
        <v>1100</v>
      </c>
      <c r="C55" s="1">
        <v>1350</v>
      </c>
      <c r="D55" s="1">
        <v>1600</v>
      </c>
      <c r="E55" s="1">
        <v>1850</v>
      </c>
      <c r="F55" s="1">
        <f t="shared" si="0"/>
        <v>5900</v>
      </c>
      <c r="G55" s="1">
        <f t="shared" si="1"/>
        <v>353899</v>
      </c>
      <c r="H55" s="1">
        <f t="shared" si="13"/>
        <v>1.6671423202665168</v>
      </c>
      <c r="I55" s="1">
        <f t="shared" si="3"/>
        <v>0.56999999999999995</v>
      </c>
      <c r="J55" s="2">
        <f t="shared" si="4"/>
        <v>1143640</v>
      </c>
      <c r="K55" s="7">
        <f t="shared" si="5"/>
        <v>1.3854495476318971</v>
      </c>
      <c r="L55" s="7">
        <f t="shared" si="6"/>
        <v>0.69397256513411054</v>
      </c>
      <c r="M55" s="7">
        <f t="shared" si="7"/>
        <v>1.5108998131841174</v>
      </c>
      <c r="N55" s="7">
        <f t="shared" si="8"/>
        <v>0.52717844184143259</v>
      </c>
      <c r="O55" s="1">
        <v>3</v>
      </c>
      <c r="P55" s="1">
        <v>5</v>
      </c>
      <c r="Q55" s="1">
        <v>3</v>
      </c>
      <c r="R55" s="1">
        <v>3</v>
      </c>
      <c r="S55" s="1">
        <f t="shared" si="9"/>
        <v>1.1596139353426471</v>
      </c>
      <c r="T55" s="1">
        <f t="shared" si="10"/>
        <v>7.08</v>
      </c>
      <c r="U55" s="1" t="str">
        <f t="shared" si="14"/>
        <v>Very high</v>
      </c>
      <c r="V55" s="1" t="s">
        <v>27</v>
      </c>
      <c r="AL55" s="1" t="s">
        <v>166</v>
      </c>
      <c r="AN55" s="2" t="s">
        <v>167</v>
      </c>
      <c r="AO55" s="8">
        <v>16104</v>
      </c>
      <c r="AP55" s="1">
        <f t="shared" si="12"/>
        <v>16104</v>
      </c>
    </row>
    <row r="56" spans="1:42" ht="12.6">
      <c r="A56" s="6" t="s">
        <v>168</v>
      </c>
      <c r="B56" s="1">
        <v>3431</v>
      </c>
      <c r="C56" s="1">
        <v>4059</v>
      </c>
      <c r="D56" s="1">
        <v>4500</v>
      </c>
      <c r="E56" s="1">
        <v>4225</v>
      </c>
      <c r="F56" s="1">
        <f t="shared" si="0"/>
        <v>16215</v>
      </c>
      <c r="G56" s="1">
        <f t="shared" si="1"/>
        <v>766790</v>
      </c>
      <c r="H56" s="1">
        <f t="shared" si="13"/>
        <v>2.1146598155948828</v>
      </c>
      <c r="I56" s="1">
        <f t="shared" si="3"/>
        <v>0.73</v>
      </c>
      <c r="J56" s="2">
        <f t="shared" si="4"/>
        <v>3001731</v>
      </c>
      <c r="K56" s="7">
        <f t="shared" si="5"/>
        <v>3.6364125564536409</v>
      </c>
      <c r="L56" s="7">
        <f t="shared" si="6"/>
        <v>1.8214813769303093</v>
      </c>
      <c r="M56" s="7">
        <f t="shared" si="7"/>
        <v>3.2736539740192807</v>
      </c>
      <c r="N56" s="7">
        <f t="shared" si="8"/>
        <v>1.1422331157183039</v>
      </c>
      <c r="O56" s="1">
        <v>4</v>
      </c>
      <c r="P56" s="1">
        <v>3</v>
      </c>
      <c r="Q56" s="1">
        <v>4</v>
      </c>
      <c r="R56" s="1">
        <v>2</v>
      </c>
      <c r="S56" s="1">
        <f t="shared" si="9"/>
        <v>2.1851557317749366</v>
      </c>
      <c r="T56" s="1">
        <f t="shared" si="10"/>
        <v>6.7</v>
      </c>
      <c r="U56" s="1" t="str">
        <f t="shared" si="14"/>
        <v>Very high</v>
      </c>
      <c r="V56" s="1" t="s">
        <v>27</v>
      </c>
      <c r="AL56" s="1" t="s">
        <v>169</v>
      </c>
      <c r="AN56" s="2" t="s">
        <v>170</v>
      </c>
      <c r="AO56" s="8">
        <v>57949</v>
      </c>
      <c r="AP56" s="1">
        <f t="shared" si="12"/>
        <v>57949</v>
      </c>
    </row>
    <row r="57" spans="1:42" ht="12.6">
      <c r="A57" s="6" t="s">
        <v>171</v>
      </c>
      <c r="B57" s="1">
        <v>780</v>
      </c>
      <c r="C57" s="1">
        <v>950</v>
      </c>
      <c r="D57" s="1">
        <v>1130</v>
      </c>
      <c r="E57" s="1">
        <v>1300</v>
      </c>
      <c r="F57" s="1">
        <f t="shared" si="0"/>
        <v>4160</v>
      </c>
      <c r="G57" s="1">
        <f t="shared" si="1"/>
        <v>185264</v>
      </c>
      <c r="H57" s="1">
        <f t="shared" si="13"/>
        <v>2.2454443388893686</v>
      </c>
      <c r="I57" s="1">
        <f t="shared" si="3"/>
        <v>0.77</v>
      </c>
      <c r="J57" s="2">
        <f t="shared" si="4"/>
        <v>774665</v>
      </c>
      <c r="K57" s="7">
        <f t="shared" si="5"/>
        <v>0.9384590201604206</v>
      </c>
      <c r="L57" s="7">
        <f t="shared" si="6"/>
        <v>0.47007472383758497</v>
      </c>
      <c r="M57" s="7">
        <f t="shared" si="7"/>
        <v>0.79094697354257104</v>
      </c>
      <c r="N57" s="7">
        <f t="shared" si="8"/>
        <v>0.27597474660654925</v>
      </c>
      <c r="O57" s="1">
        <v>3</v>
      </c>
      <c r="P57" s="1">
        <v>4</v>
      </c>
      <c r="Q57" s="1">
        <v>3</v>
      </c>
      <c r="R57" s="1">
        <v>3</v>
      </c>
      <c r="S57" s="1">
        <f t="shared" si="9"/>
        <v>1.0742122121596185</v>
      </c>
      <c r="T57" s="1">
        <f t="shared" si="10"/>
        <v>6.5400000000000009</v>
      </c>
      <c r="U57" s="1" t="str">
        <f t="shared" si="14"/>
        <v>Very high</v>
      </c>
      <c r="V57" s="1" t="s">
        <v>27</v>
      </c>
      <c r="AL57" s="1" t="s">
        <v>172</v>
      </c>
      <c r="AN57" s="2" t="s">
        <v>173</v>
      </c>
      <c r="AO57" s="8">
        <v>5918</v>
      </c>
      <c r="AP57" s="1">
        <f t="shared" si="12"/>
        <v>5918</v>
      </c>
    </row>
    <row r="58" spans="1:42" ht="12.6">
      <c r="A58" s="6" t="s">
        <v>174</v>
      </c>
      <c r="B58" s="1">
        <v>1500</v>
      </c>
      <c r="C58" s="1">
        <v>1800</v>
      </c>
      <c r="D58" s="1">
        <v>2100</v>
      </c>
      <c r="E58" s="1">
        <v>2400</v>
      </c>
      <c r="F58" s="1">
        <f t="shared" si="0"/>
        <v>7800</v>
      </c>
      <c r="G58" s="1">
        <f t="shared" si="1"/>
        <v>613743</v>
      </c>
      <c r="H58" s="1">
        <f t="shared" si="13"/>
        <v>1.2708902586261677</v>
      </c>
      <c r="I58" s="1">
        <f t="shared" si="3"/>
        <v>0.44</v>
      </c>
      <c r="J58" s="2">
        <f t="shared" si="4"/>
        <v>2091517</v>
      </c>
      <c r="K58" s="7">
        <f t="shared" si="5"/>
        <v>2.5337442565094106</v>
      </c>
      <c r="L58" s="7">
        <f t="shared" si="6"/>
        <v>1.2691541197506204</v>
      </c>
      <c r="M58" s="7">
        <f t="shared" si="7"/>
        <v>2.6202509304718573</v>
      </c>
      <c r="N58" s="7">
        <f t="shared" si="8"/>
        <v>0.91424976739433106</v>
      </c>
      <c r="O58" s="1">
        <v>4</v>
      </c>
      <c r="P58" s="1">
        <v>2</v>
      </c>
      <c r="Q58" s="1">
        <v>4</v>
      </c>
      <c r="R58" s="1">
        <v>3</v>
      </c>
      <c r="S58" s="1">
        <f t="shared" si="9"/>
        <v>1.5436364850762798</v>
      </c>
      <c r="T58" s="1">
        <f t="shared" si="10"/>
        <v>6.5400000000000009</v>
      </c>
      <c r="U58" s="1" t="str">
        <f t="shared" si="14"/>
        <v>Very high</v>
      </c>
      <c r="V58" s="1" t="s">
        <v>27</v>
      </c>
      <c r="AL58" s="1" t="s">
        <v>175</v>
      </c>
      <c r="AN58" s="2" t="s">
        <v>176</v>
      </c>
      <c r="AO58" s="8">
        <v>20417</v>
      </c>
      <c r="AP58" s="1">
        <f t="shared" si="12"/>
        <v>20417</v>
      </c>
    </row>
    <row r="59" spans="1:42" ht="12.6">
      <c r="A59" s="6" t="s">
        <v>177</v>
      </c>
      <c r="B59" s="1">
        <v>560</v>
      </c>
      <c r="C59" s="1">
        <v>690</v>
      </c>
      <c r="D59" s="1">
        <v>820</v>
      </c>
      <c r="E59" s="1">
        <v>950</v>
      </c>
      <c r="F59" s="1">
        <f t="shared" si="0"/>
        <v>3020</v>
      </c>
      <c r="G59" s="1">
        <f t="shared" si="1"/>
        <v>131111</v>
      </c>
      <c r="H59" s="1">
        <f t="shared" si="13"/>
        <v>2.3033917825354089</v>
      </c>
      <c r="I59" s="1">
        <f t="shared" si="3"/>
        <v>0.79</v>
      </c>
      <c r="J59" s="2">
        <f t="shared" si="4"/>
        <v>507743</v>
      </c>
      <c r="K59" s="7">
        <f t="shared" si="5"/>
        <v>0.61509942784727911</v>
      </c>
      <c r="L59" s="7">
        <f t="shared" si="6"/>
        <v>0.30810369708902163</v>
      </c>
      <c r="M59" s="7">
        <f t="shared" si="7"/>
        <v>0.5597517523541542</v>
      </c>
      <c r="N59" s="7">
        <f t="shared" si="8"/>
        <v>0.19530683242470892</v>
      </c>
      <c r="O59" s="1">
        <v>2</v>
      </c>
      <c r="P59" s="1">
        <v>1</v>
      </c>
      <c r="Q59" s="1">
        <v>2</v>
      </c>
      <c r="R59" s="1">
        <v>3</v>
      </c>
      <c r="S59" s="1">
        <f t="shared" si="9"/>
        <v>0.97095626153290493</v>
      </c>
      <c r="T59" s="1">
        <f t="shared" si="10"/>
        <v>3.8400000000000003</v>
      </c>
      <c r="U59" s="1" t="str">
        <f t="shared" si="14"/>
        <v>Very low</v>
      </c>
      <c r="AL59" s="1" t="s">
        <v>178</v>
      </c>
      <c r="AN59" s="2" t="s">
        <v>179</v>
      </c>
      <c r="AO59" s="8">
        <v>6668</v>
      </c>
      <c r="AP59" s="1">
        <f t="shared" si="12"/>
        <v>6668</v>
      </c>
    </row>
    <row r="60" spans="1:42" ht="12.6">
      <c r="A60" s="6" t="s">
        <v>180</v>
      </c>
      <c r="B60" s="8">
        <v>500</v>
      </c>
      <c r="C60" s="8">
        <v>620</v>
      </c>
      <c r="D60" s="8">
        <v>750</v>
      </c>
      <c r="E60" s="8">
        <v>880</v>
      </c>
      <c r="F60" s="8">
        <f t="shared" si="0"/>
        <v>2750</v>
      </c>
      <c r="G60" s="1">
        <f t="shared" si="1"/>
        <v>55041</v>
      </c>
      <c r="H60" s="1">
        <f t="shared" si="13"/>
        <v>4.9962755037154123</v>
      </c>
      <c r="I60" s="1">
        <f t="shared" si="3"/>
        <v>1.72</v>
      </c>
      <c r="J60" s="2">
        <f t="shared" si="4"/>
        <v>120235</v>
      </c>
      <c r="K60" s="7">
        <f t="shared" si="5"/>
        <v>0.14565731030702067</v>
      </c>
      <c r="L60" s="7">
        <f t="shared" si="6"/>
        <v>7.2959839957416464E-2</v>
      </c>
      <c r="M60" s="7">
        <f t="shared" si="7"/>
        <v>0.23498635660871323</v>
      </c>
      <c r="N60" s="7">
        <f t="shared" si="8"/>
        <v>8.1990705306865197E-2</v>
      </c>
      <c r="O60" s="1">
        <v>2</v>
      </c>
      <c r="P60" s="1">
        <v>2</v>
      </c>
      <c r="Q60" s="1">
        <v>2</v>
      </c>
      <c r="R60" s="1">
        <v>3</v>
      </c>
      <c r="S60" s="1">
        <f t="shared" si="9"/>
        <v>1.6345774296977722</v>
      </c>
      <c r="T60" s="1">
        <f t="shared" si="10"/>
        <v>4.3800000000000008</v>
      </c>
      <c r="U60" s="1" t="str">
        <f t="shared" si="14"/>
        <v>low</v>
      </c>
      <c r="AL60" s="8">
        <v>55041</v>
      </c>
      <c r="AN60" s="2" t="s">
        <v>181</v>
      </c>
      <c r="AO60" s="8">
        <v>2297</v>
      </c>
      <c r="AP60" s="1">
        <f t="shared" si="12"/>
        <v>2297</v>
      </c>
    </row>
    <row r="61" spans="1:42" ht="12.6">
      <c r="A61" s="6" t="s">
        <v>182</v>
      </c>
      <c r="B61" s="1">
        <v>1300</v>
      </c>
      <c r="C61" s="1">
        <v>1580</v>
      </c>
      <c r="D61" s="1">
        <v>1850</v>
      </c>
      <c r="E61" s="1">
        <v>2120</v>
      </c>
      <c r="F61" s="1">
        <f t="shared" si="0"/>
        <v>6850</v>
      </c>
      <c r="G61" s="1">
        <f t="shared" si="1"/>
        <v>397067</v>
      </c>
      <c r="H61" s="1">
        <f t="shared" si="13"/>
        <v>1.725149659881078</v>
      </c>
      <c r="I61" s="1">
        <f t="shared" si="3"/>
        <v>0.59</v>
      </c>
      <c r="J61" s="2">
        <f t="shared" si="4"/>
        <v>1313829</v>
      </c>
      <c r="K61" s="7">
        <f t="shared" si="5"/>
        <v>1.5916230577066801</v>
      </c>
      <c r="L61" s="7">
        <f t="shared" si="6"/>
        <v>0.79724500828720868</v>
      </c>
      <c r="M61" s="7">
        <f t="shared" si="7"/>
        <v>1.6951968107329436</v>
      </c>
      <c r="N61" s="7">
        <f t="shared" si="8"/>
        <v>0.59148277436967078</v>
      </c>
      <c r="O61" s="1">
        <v>3</v>
      </c>
      <c r="P61" s="1">
        <v>2</v>
      </c>
      <c r="Q61" s="1">
        <v>3</v>
      </c>
      <c r="R61" s="1">
        <v>2</v>
      </c>
      <c r="S61" s="1">
        <f t="shared" si="9"/>
        <v>1.2639359453736532</v>
      </c>
      <c r="T61" s="1">
        <f t="shared" si="10"/>
        <v>5.08</v>
      </c>
      <c r="U61" s="1" t="str">
        <f t="shared" si="14"/>
        <v>Very high</v>
      </c>
      <c r="V61" s="1" t="s">
        <v>27</v>
      </c>
      <c r="AL61" s="1" t="s">
        <v>183</v>
      </c>
      <c r="AN61" s="2" t="s">
        <v>184</v>
      </c>
      <c r="AO61" s="8">
        <v>9749</v>
      </c>
      <c r="AP61" s="1">
        <f t="shared" si="12"/>
        <v>9749</v>
      </c>
    </row>
    <row r="62" spans="1:42" ht="12.6">
      <c r="A62" s="6" t="s">
        <v>185</v>
      </c>
      <c r="B62" s="1">
        <v>3702</v>
      </c>
      <c r="C62" s="1">
        <v>3757</v>
      </c>
      <c r="D62" s="1">
        <v>4224</v>
      </c>
      <c r="E62" s="1">
        <v>4483</v>
      </c>
      <c r="F62" s="1">
        <f t="shared" si="0"/>
        <v>16166</v>
      </c>
      <c r="G62" s="1">
        <f t="shared" si="1"/>
        <v>1084700</v>
      </c>
      <c r="H62" s="1">
        <f t="shared" si="13"/>
        <v>1.4903659998156171</v>
      </c>
      <c r="I62" s="1">
        <f t="shared" si="3"/>
        <v>0.51</v>
      </c>
      <c r="J62" s="2">
        <f t="shared" si="4"/>
        <v>3405377</v>
      </c>
      <c r="K62" s="7">
        <f t="shared" si="5"/>
        <v>4.1254048688101728</v>
      </c>
      <c r="L62" s="7">
        <f t="shared" si="6"/>
        <v>2.0664179391580406</v>
      </c>
      <c r="M62" s="7">
        <f t="shared" si="7"/>
        <v>4.6309060702652793</v>
      </c>
      <c r="N62" s="7">
        <f t="shared" si="8"/>
        <v>1.6158012762550951</v>
      </c>
      <c r="O62" s="1">
        <v>4</v>
      </c>
      <c r="P62" s="1">
        <v>5</v>
      </c>
      <c r="Q62" s="1">
        <v>4</v>
      </c>
      <c r="R62" s="1">
        <v>2</v>
      </c>
      <c r="S62" s="1">
        <f t="shared" si="9"/>
        <v>2.4166280690417827</v>
      </c>
      <c r="T62" s="1">
        <f t="shared" si="10"/>
        <v>7.78</v>
      </c>
      <c r="U62" s="1" t="str">
        <f t="shared" si="14"/>
        <v>Very high</v>
      </c>
      <c r="V62" s="1" t="s">
        <v>27</v>
      </c>
      <c r="AL62" s="1" t="s">
        <v>186</v>
      </c>
      <c r="AN62" s="2" t="s">
        <v>187</v>
      </c>
      <c r="AO62" s="8">
        <v>57799</v>
      </c>
      <c r="AP62" s="1">
        <f t="shared" si="12"/>
        <v>57799</v>
      </c>
    </row>
    <row r="63" spans="1:42" ht="50.1">
      <c r="A63" s="6"/>
      <c r="F63" s="1" t="s">
        <v>188</v>
      </c>
      <c r="G63" s="1">
        <f>SUM(G3:G62)</f>
        <v>23423062</v>
      </c>
      <c r="I63" s="1" t="s">
        <v>189</v>
      </c>
      <c r="J63" s="2">
        <f>SUM(J3:J62)</f>
        <v>82546492</v>
      </c>
      <c r="K63" s="2"/>
      <c r="L63" s="2"/>
      <c r="M63" s="2"/>
      <c r="N63" s="2"/>
      <c r="S63" s="9" t="s">
        <v>190</v>
      </c>
      <c r="T63" s="9" t="s">
        <v>191</v>
      </c>
      <c r="U63" s="9" t="s">
        <v>192</v>
      </c>
      <c r="V63" s="9" t="s">
        <v>193</v>
      </c>
      <c r="W63" s="10" t="s">
        <v>194</v>
      </c>
      <c r="AN63" s="2"/>
    </row>
    <row r="64" spans="1:42" ht="138">
      <c r="A64" s="11" t="s">
        <v>195</v>
      </c>
      <c r="G64" s="1">
        <f>SUM(F3:F62)</f>
        <v>519623</v>
      </c>
      <c r="J64" s="2"/>
      <c r="K64" s="2"/>
      <c r="L64" s="2"/>
      <c r="M64" s="2"/>
      <c r="N64" s="2"/>
      <c r="O64" s="9" t="s">
        <v>196</v>
      </c>
      <c r="S64" s="9" t="s">
        <v>197</v>
      </c>
      <c r="T64" s="9" t="s">
        <v>198</v>
      </c>
      <c r="U64" s="9" t="s">
        <v>199</v>
      </c>
      <c r="V64" s="9" t="s">
        <v>200</v>
      </c>
      <c r="W64" s="9"/>
      <c r="AN64" s="2"/>
    </row>
    <row r="65" spans="10:40" ht="38.1">
      <c r="J65" s="2"/>
      <c r="K65" s="2"/>
      <c r="L65" s="2"/>
      <c r="M65" s="2"/>
      <c r="N65" s="2"/>
      <c r="S65" s="9" t="s">
        <v>201</v>
      </c>
      <c r="AN65" s="2"/>
    </row>
    <row r="66" spans="10:40" ht="12.6">
      <c r="J66" s="2"/>
      <c r="K66" s="2"/>
      <c r="L66" s="2"/>
      <c r="M66" s="2"/>
      <c r="N66" s="2"/>
      <c r="AN66" s="2"/>
    </row>
    <row r="67" spans="10:40" ht="12.6">
      <c r="J67" s="2"/>
      <c r="K67" s="2"/>
      <c r="L67" s="2"/>
      <c r="M67" s="2"/>
      <c r="N67" s="2"/>
      <c r="AN67" s="2"/>
    </row>
    <row r="68" spans="10:40" ht="12.6">
      <c r="J68" s="2"/>
      <c r="K68" s="2"/>
      <c r="L68" s="2"/>
      <c r="M68" s="2"/>
      <c r="N68" s="2"/>
      <c r="AN68" s="2"/>
    </row>
    <row r="69" spans="10:40" ht="12.6">
      <c r="J69" s="2"/>
      <c r="K69" s="2"/>
      <c r="L69" s="2"/>
      <c r="M69" s="2"/>
      <c r="N69" s="2"/>
      <c r="AN69" s="2"/>
    </row>
    <row r="70" spans="10:40" ht="12.6">
      <c r="J70" s="2"/>
      <c r="K70" s="2"/>
      <c r="L70" s="2"/>
      <c r="M70" s="2"/>
      <c r="N70" s="2"/>
      <c r="AN70" s="2"/>
    </row>
    <row r="71" spans="10:40" ht="12.6">
      <c r="J71" s="2"/>
      <c r="K71" s="2"/>
      <c r="L71" s="2"/>
      <c r="M71" s="2"/>
      <c r="N71" s="2"/>
      <c r="AN71" s="2"/>
    </row>
    <row r="72" spans="10:40" ht="12.6">
      <c r="J72" s="2"/>
      <c r="K72" s="2"/>
      <c r="L72" s="2"/>
      <c r="M72" s="2"/>
      <c r="N72" s="2"/>
      <c r="AN72" s="2"/>
    </row>
    <row r="73" spans="10:40" ht="12.6">
      <c r="J73" s="2"/>
      <c r="K73" s="2"/>
      <c r="L73" s="2"/>
      <c r="M73" s="2"/>
      <c r="N73" s="2"/>
      <c r="AN73" s="2"/>
    </row>
    <row r="74" spans="10:40" ht="12.6">
      <c r="J74" s="2"/>
      <c r="K74" s="2"/>
      <c r="L74" s="2"/>
      <c r="M74" s="2"/>
      <c r="N74" s="2"/>
      <c r="AN74" s="2"/>
    </row>
    <row r="75" spans="10:40" ht="12.6">
      <c r="J75" s="2"/>
      <c r="K75" s="2"/>
      <c r="L75" s="2"/>
      <c r="M75" s="2"/>
      <c r="N75" s="2"/>
      <c r="AN75" s="2"/>
    </row>
    <row r="76" spans="10:40" ht="12.6">
      <c r="J76" s="2"/>
      <c r="K76" s="2"/>
      <c r="L76" s="2"/>
      <c r="M76" s="2"/>
      <c r="N76" s="2"/>
      <c r="AN76" s="2"/>
    </row>
    <row r="77" spans="10:40" ht="12.6">
      <c r="J77" s="2"/>
      <c r="K77" s="2"/>
      <c r="L77" s="2"/>
      <c r="M77" s="2"/>
      <c r="N77" s="2"/>
      <c r="AN77" s="2"/>
    </row>
    <row r="78" spans="10:40" ht="12.6">
      <c r="J78" s="2"/>
      <c r="K78" s="2"/>
      <c r="L78" s="2"/>
      <c r="M78" s="2"/>
      <c r="N78" s="2"/>
      <c r="AN78" s="2"/>
    </row>
    <row r="79" spans="10:40" ht="12.6">
      <c r="J79" s="2"/>
      <c r="K79" s="2"/>
      <c r="L79" s="2"/>
      <c r="M79" s="2"/>
      <c r="N79" s="2"/>
      <c r="AN79" s="2"/>
    </row>
    <row r="80" spans="10:40" ht="12.6">
      <c r="J80" s="2"/>
      <c r="K80" s="2"/>
      <c r="L80" s="2"/>
      <c r="M80" s="2"/>
      <c r="N80" s="2"/>
      <c r="AN80" s="2"/>
    </row>
    <row r="81" spans="1:40" ht="12.6">
      <c r="J81" s="2"/>
      <c r="K81" s="2"/>
      <c r="L81" s="2"/>
      <c r="M81" s="2"/>
      <c r="N81" s="2"/>
      <c r="AN81" s="2"/>
    </row>
    <row r="82" spans="1:40" ht="12.6">
      <c r="J82" s="2"/>
      <c r="K82" s="2"/>
      <c r="L82" s="2"/>
      <c r="M82" s="2"/>
      <c r="N82" s="2"/>
      <c r="AN82" s="2"/>
    </row>
    <row r="83" spans="1:40" ht="12.6">
      <c r="D83" s="1" t="s">
        <v>202</v>
      </c>
      <c r="J83" s="2"/>
      <c r="K83" s="2"/>
      <c r="L83" s="2"/>
      <c r="M83" s="2"/>
      <c r="N83" s="2"/>
      <c r="AN83" s="2"/>
    </row>
    <row r="84" spans="1:40" ht="12.6">
      <c r="D84" s="1" t="s">
        <v>203</v>
      </c>
      <c r="J84" s="2"/>
      <c r="K84" s="2"/>
      <c r="L84" s="2"/>
      <c r="M84" s="2"/>
      <c r="N84" s="2"/>
      <c r="AN84" s="2"/>
    </row>
    <row r="85" spans="1:40" ht="12.95">
      <c r="A85" s="12" t="s">
        <v>204</v>
      </c>
      <c r="D85" s="21" t="s">
        <v>205</v>
      </c>
      <c r="J85" s="2"/>
      <c r="K85" s="2"/>
      <c r="L85" s="2"/>
      <c r="M85" s="2"/>
      <c r="N85" s="2"/>
      <c r="AN85" s="2"/>
    </row>
    <row r="86" spans="1:40" ht="12.6">
      <c r="A86" s="1" t="s">
        <v>203</v>
      </c>
      <c r="J86" s="2"/>
      <c r="K86" s="2"/>
      <c r="L86" s="2"/>
      <c r="M86" s="2"/>
      <c r="N86" s="2"/>
      <c r="AN86" s="2"/>
    </row>
    <row r="87" spans="1:40" ht="12.6">
      <c r="J87" s="2"/>
      <c r="K87" s="2"/>
      <c r="L87" s="2"/>
      <c r="M87" s="2"/>
      <c r="N87" s="2"/>
      <c r="AN87" s="2"/>
    </row>
    <row r="88" spans="1:40" ht="12.6">
      <c r="J88" s="2"/>
      <c r="K88" s="2"/>
      <c r="L88" s="2"/>
      <c r="M88" s="2"/>
      <c r="N88" s="2"/>
      <c r="AN88" s="2"/>
    </row>
    <row r="89" spans="1:40" ht="12.6">
      <c r="J89" s="2"/>
      <c r="K89" s="2"/>
      <c r="L89" s="2"/>
      <c r="M89" s="2"/>
      <c r="N89" s="2"/>
      <c r="AN89" s="2"/>
    </row>
    <row r="90" spans="1:40" ht="12.6">
      <c r="J90" s="2"/>
      <c r="K90" s="2"/>
      <c r="L90" s="2"/>
      <c r="M90" s="2"/>
      <c r="N90" s="2"/>
      <c r="AN90" s="2"/>
    </row>
    <row r="91" spans="1:40" ht="12.6">
      <c r="J91" s="2"/>
      <c r="K91" s="2"/>
      <c r="L91" s="2"/>
      <c r="M91" s="2"/>
      <c r="N91" s="2"/>
      <c r="AN91" s="2"/>
    </row>
    <row r="92" spans="1:40" ht="12.6">
      <c r="J92" s="2"/>
      <c r="K92" s="2"/>
      <c r="L92" s="2"/>
      <c r="M92" s="2"/>
      <c r="N92" s="2"/>
      <c r="AN92" s="2"/>
    </row>
    <row r="93" spans="1:40" ht="12.6">
      <c r="J93" s="2"/>
      <c r="K93" s="2"/>
      <c r="L93" s="2"/>
      <c r="M93" s="2"/>
      <c r="N93" s="2"/>
      <c r="AN93" s="2"/>
    </row>
    <row r="94" spans="1:40" ht="12.6">
      <c r="J94" s="2"/>
      <c r="K94" s="2"/>
      <c r="L94" s="2"/>
      <c r="M94" s="2"/>
      <c r="N94" s="2"/>
      <c r="AN94" s="2"/>
    </row>
    <row r="95" spans="1:40" ht="12.6">
      <c r="J95" s="2"/>
      <c r="K95" s="2"/>
      <c r="L95" s="2"/>
      <c r="M95" s="2"/>
      <c r="N95" s="2"/>
      <c r="AN95" s="2"/>
    </row>
    <row r="96" spans="1:40" ht="12.6">
      <c r="J96" s="2"/>
      <c r="K96" s="2"/>
      <c r="L96" s="2"/>
      <c r="M96" s="2"/>
      <c r="N96" s="2"/>
      <c r="AN96" s="2"/>
    </row>
    <row r="97" spans="10:40" ht="12.6">
      <c r="J97" s="2"/>
      <c r="K97" s="2"/>
      <c r="L97" s="2"/>
      <c r="M97" s="2"/>
      <c r="N97" s="2"/>
      <c r="AN97" s="2"/>
    </row>
    <row r="98" spans="10:40" ht="12.6">
      <c r="J98" s="2"/>
      <c r="K98" s="2"/>
      <c r="L98" s="2"/>
      <c r="M98" s="2"/>
      <c r="N98" s="2"/>
      <c r="AN98" s="2"/>
    </row>
    <row r="99" spans="10:40" ht="12.6">
      <c r="J99" s="2"/>
      <c r="K99" s="2"/>
      <c r="L99" s="2"/>
      <c r="M99" s="2"/>
      <c r="N99" s="2"/>
      <c r="AN99" s="2"/>
    </row>
    <row r="100" spans="10:40" ht="12.6">
      <c r="J100" s="2"/>
      <c r="K100" s="2"/>
      <c r="L100" s="2"/>
      <c r="M100" s="2"/>
      <c r="N100" s="2"/>
      <c r="AN100" s="2"/>
    </row>
    <row r="101" spans="10:40" ht="12.6">
      <c r="J101" s="2"/>
      <c r="K101" s="2"/>
      <c r="L101" s="2"/>
      <c r="M101" s="2"/>
      <c r="N101" s="2"/>
      <c r="AN101" s="2"/>
    </row>
    <row r="102" spans="10:40" ht="12.6">
      <c r="J102" s="2"/>
      <c r="K102" s="2"/>
      <c r="L102" s="2"/>
      <c r="M102" s="2"/>
      <c r="N102" s="2"/>
      <c r="AN102" s="2"/>
    </row>
    <row r="103" spans="10:40" ht="12.6">
      <c r="J103" s="2"/>
      <c r="K103" s="2"/>
      <c r="L103" s="2"/>
      <c r="M103" s="2"/>
      <c r="N103" s="2"/>
      <c r="AN103" s="2"/>
    </row>
    <row r="104" spans="10:40" ht="12.6">
      <c r="J104" s="2"/>
      <c r="K104" s="2"/>
      <c r="L104" s="2"/>
      <c r="M104" s="2"/>
      <c r="N104" s="2"/>
      <c r="AN104" s="2"/>
    </row>
    <row r="105" spans="10:40" ht="12.6">
      <c r="J105" s="2"/>
      <c r="K105" s="2"/>
      <c r="L105" s="2"/>
      <c r="M105" s="2"/>
      <c r="N105" s="2"/>
      <c r="AN105" s="2"/>
    </row>
    <row r="106" spans="10:40" ht="12.6">
      <c r="J106" s="2"/>
      <c r="K106" s="2"/>
      <c r="L106" s="2"/>
      <c r="M106" s="2"/>
      <c r="N106" s="2"/>
      <c r="AN106" s="2"/>
    </row>
    <row r="107" spans="10:40" ht="12.6">
      <c r="J107" s="2"/>
      <c r="K107" s="2"/>
      <c r="L107" s="2"/>
      <c r="M107" s="2"/>
      <c r="N107" s="2"/>
      <c r="AN107" s="2"/>
    </row>
    <row r="108" spans="10:40" ht="12.6">
      <c r="J108" s="2"/>
      <c r="K108" s="2"/>
      <c r="L108" s="2"/>
      <c r="M108" s="2"/>
      <c r="N108" s="2"/>
      <c r="AN108" s="2"/>
    </row>
    <row r="109" spans="10:40" ht="12.6">
      <c r="J109" s="2"/>
      <c r="K109" s="2"/>
      <c r="L109" s="2"/>
      <c r="M109" s="2"/>
      <c r="N109" s="2"/>
      <c r="AN109" s="2"/>
    </row>
    <row r="110" spans="10:40" ht="12.6">
      <c r="J110" s="2"/>
      <c r="K110" s="2"/>
      <c r="L110" s="2"/>
      <c r="M110" s="2"/>
      <c r="N110" s="2"/>
      <c r="AN110" s="2"/>
    </row>
    <row r="111" spans="10:40" ht="12.6">
      <c r="J111" s="2"/>
      <c r="K111" s="2"/>
      <c r="L111" s="2"/>
      <c r="M111" s="2"/>
      <c r="N111" s="2"/>
      <c r="AN111" s="2"/>
    </row>
    <row r="112" spans="10:40" ht="12.6">
      <c r="J112" s="2"/>
      <c r="K112" s="2"/>
      <c r="L112" s="2"/>
      <c r="M112" s="2"/>
      <c r="N112" s="2"/>
      <c r="AN112" s="2"/>
    </row>
    <row r="113" spans="10:40" ht="12.6">
      <c r="J113" s="2"/>
      <c r="K113" s="2"/>
      <c r="L113" s="2"/>
      <c r="M113" s="2"/>
      <c r="N113" s="2"/>
      <c r="AN113" s="2"/>
    </row>
    <row r="114" spans="10:40" ht="12.6">
      <c r="J114" s="2"/>
      <c r="K114" s="2"/>
      <c r="L114" s="2"/>
      <c r="M114" s="2"/>
      <c r="N114" s="2"/>
      <c r="AN114" s="2"/>
    </row>
    <row r="115" spans="10:40" ht="12.6">
      <c r="J115" s="2"/>
      <c r="K115" s="2"/>
      <c r="L115" s="2"/>
      <c r="M115" s="2"/>
      <c r="N115" s="2"/>
      <c r="AN115" s="2"/>
    </row>
    <row r="116" spans="10:40" ht="12.6">
      <c r="J116" s="2"/>
      <c r="K116" s="2"/>
      <c r="L116" s="2"/>
      <c r="M116" s="2"/>
      <c r="N116" s="2"/>
      <c r="AN116" s="2"/>
    </row>
    <row r="117" spans="10:40" ht="12.6">
      <c r="J117" s="2"/>
      <c r="K117" s="2"/>
      <c r="L117" s="2"/>
      <c r="M117" s="2"/>
      <c r="N117" s="2"/>
      <c r="AN117" s="2"/>
    </row>
    <row r="118" spans="10:40" ht="12.6">
      <c r="J118" s="2"/>
      <c r="K118" s="2"/>
      <c r="L118" s="2"/>
      <c r="M118" s="2"/>
      <c r="N118" s="2"/>
      <c r="AN118" s="2"/>
    </row>
    <row r="119" spans="10:40" ht="12.6">
      <c r="J119" s="2"/>
      <c r="K119" s="2"/>
      <c r="L119" s="2"/>
      <c r="M119" s="2"/>
      <c r="N119" s="2"/>
      <c r="AN119" s="2"/>
    </row>
    <row r="120" spans="10:40" ht="12.6">
      <c r="J120" s="2"/>
      <c r="K120" s="2"/>
      <c r="L120" s="2"/>
      <c r="M120" s="2"/>
      <c r="N120" s="2"/>
      <c r="AN120" s="2"/>
    </row>
    <row r="121" spans="10:40" ht="12.6">
      <c r="J121" s="2"/>
      <c r="K121" s="2"/>
      <c r="L121" s="2"/>
      <c r="M121" s="2"/>
      <c r="N121" s="2"/>
      <c r="AN121" s="2"/>
    </row>
    <row r="122" spans="10:40" ht="12.6">
      <c r="J122" s="2"/>
      <c r="K122" s="2"/>
      <c r="L122" s="2"/>
      <c r="M122" s="2"/>
      <c r="N122" s="2"/>
      <c r="AN122" s="2"/>
    </row>
    <row r="123" spans="10:40" ht="12.6">
      <c r="J123" s="2"/>
      <c r="K123" s="2"/>
      <c r="L123" s="2"/>
      <c r="M123" s="2"/>
      <c r="N123" s="2"/>
      <c r="AN123" s="2"/>
    </row>
    <row r="124" spans="10:40" ht="12.6">
      <c r="J124" s="2"/>
      <c r="K124" s="2"/>
      <c r="L124" s="2"/>
      <c r="M124" s="2"/>
      <c r="N124" s="2"/>
      <c r="AN124" s="2"/>
    </row>
    <row r="125" spans="10:40" ht="12.6">
      <c r="J125" s="2"/>
      <c r="K125" s="2"/>
      <c r="L125" s="2"/>
      <c r="M125" s="2"/>
      <c r="N125" s="2"/>
      <c r="AN125" s="2"/>
    </row>
    <row r="126" spans="10:40" ht="12.6">
      <c r="J126" s="2"/>
      <c r="K126" s="2"/>
      <c r="L126" s="2"/>
      <c r="M126" s="2"/>
      <c r="N126" s="2"/>
      <c r="AN126" s="2"/>
    </row>
    <row r="127" spans="10:40" ht="12.6">
      <c r="J127" s="2"/>
      <c r="K127" s="2"/>
      <c r="L127" s="2"/>
      <c r="M127" s="2"/>
      <c r="N127" s="2"/>
      <c r="AN127" s="2"/>
    </row>
    <row r="128" spans="10:40" ht="12.6">
      <c r="J128" s="2"/>
      <c r="K128" s="2"/>
      <c r="L128" s="2"/>
      <c r="M128" s="2"/>
      <c r="N128" s="2"/>
      <c r="AN128" s="2"/>
    </row>
    <row r="129" spans="10:40" ht="12.6">
      <c r="J129" s="2"/>
      <c r="K129" s="2"/>
      <c r="L129" s="2"/>
      <c r="M129" s="2"/>
      <c r="N129" s="2"/>
      <c r="AN129" s="2"/>
    </row>
    <row r="130" spans="10:40" ht="12.6">
      <c r="J130" s="2"/>
      <c r="K130" s="2"/>
      <c r="L130" s="2"/>
      <c r="M130" s="2"/>
      <c r="N130" s="2"/>
      <c r="AN130" s="2"/>
    </row>
    <row r="131" spans="10:40" ht="12.6">
      <c r="J131" s="2"/>
      <c r="K131" s="2"/>
      <c r="L131" s="2"/>
      <c r="M131" s="2"/>
      <c r="N131" s="2"/>
      <c r="AN131" s="2"/>
    </row>
    <row r="132" spans="10:40" ht="12.6">
      <c r="J132" s="2"/>
      <c r="K132" s="2"/>
      <c r="L132" s="2"/>
      <c r="M132" s="2"/>
      <c r="N132" s="2"/>
      <c r="AN132" s="2"/>
    </row>
    <row r="133" spans="10:40" ht="12.6">
      <c r="J133" s="2"/>
      <c r="K133" s="2"/>
      <c r="L133" s="2"/>
      <c r="M133" s="2"/>
      <c r="N133" s="2"/>
      <c r="AN133" s="2"/>
    </row>
    <row r="134" spans="10:40" ht="12.6">
      <c r="J134" s="2"/>
      <c r="K134" s="2"/>
      <c r="L134" s="2"/>
      <c r="M134" s="2"/>
      <c r="N134" s="2"/>
      <c r="AN134" s="2"/>
    </row>
    <row r="135" spans="10:40" ht="12.6">
      <c r="J135" s="2"/>
      <c r="K135" s="2"/>
      <c r="L135" s="2"/>
      <c r="M135" s="2"/>
      <c r="N135" s="2"/>
      <c r="AN135" s="2"/>
    </row>
    <row r="136" spans="10:40" ht="12.6">
      <c r="J136" s="2"/>
      <c r="K136" s="2"/>
      <c r="L136" s="2"/>
      <c r="M136" s="2"/>
      <c r="N136" s="2"/>
      <c r="AN136" s="2"/>
    </row>
    <row r="137" spans="10:40" ht="12.6">
      <c r="J137" s="2"/>
      <c r="K137" s="2"/>
      <c r="L137" s="2"/>
      <c r="M137" s="2"/>
      <c r="N137" s="2"/>
      <c r="AN137" s="2"/>
    </row>
    <row r="138" spans="10:40" ht="12.6">
      <c r="J138" s="2"/>
      <c r="K138" s="2"/>
      <c r="L138" s="2"/>
      <c r="M138" s="2"/>
      <c r="N138" s="2"/>
      <c r="AN138" s="2"/>
    </row>
    <row r="139" spans="10:40" ht="12.6">
      <c r="J139" s="2"/>
      <c r="K139" s="2"/>
      <c r="L139" s="2"/>
      <c r="M139" s="2"/>
      <c r="N139" s="2"/>
      <c r="AN139" s="2"/>
    </row>
    <row r="140" spans="10:40" ht="12.6">
      <c r="J140" s="2"/>
      <c r="K140" s="2"/>
      <c r="L140" s="2"/>
      <c r="M140" s="2"/>
      <c r="N140" s="2"/>
      <c r="AN140" s="2"/>
    </row>
    <row r="141" spans="10:40" ht="12.6">
      <c r="J141" s="2"/>
      <c r="K141" s="2"/>
      <c r="L141" s="2"/>
      <c r="M141" s="2"/>
      <c r="N141" s="2"/>
      <c r="AN141" s="2"/>
    </row>
    <row r="142" spans="10:40" ht="12.6">
      <c r="J142" s="2"/>
      <c r="K142" s="2"/>
      <c r="L142" s="2"/>
      <c r="M142" s="2"/>
      <c r="N142" s="2"/>
      <c r="AN142" s="2"/>
    </row>
    <row r="143" spans="10:40" ht="12.6">
      <c r="J143" s="2"/>
      <c r="K143" s="2"/>
      <c r="L143" s="2"/>
      <c r="M143" s="2"/>
      <c r="N143" s="2"/>
      <c r="AN143" s="2"/>
    </row>
    <row r="144" spans="10:40" ht="12.6">
      <c r="J144" s="2"/>
      <c r="K144" s="2"/>
      <c r="L144" s="2"/>
      <c r="M144" s="2"/>
      <c r="N144" s="2"/>
      <c r="AN144" s="2"/>
    </row>
    <row r="145" spans="10:40" ht="12.6">
      <c r="J145" s="2"/>
      <c r="K145" s="2"/>
      <c r="L145" s="2"/>
      <c r="M145" s="2"/>
      <c r="N145" s="2"/>
      <c r="AN145" s="2"/>
    </row>
    <row r="146" spans="10:40" ht="12.6">
      <c r="J146" s="2"/>
      <c r="K146" s="2"/>
      <c r="L146" s="2"/>
      <c r="M146" s="2"/>
      <c r="N146" s="2"/>
      <c r="AN146" s="2"/>
    </row>
    <row r="147" spans="10:40" ht="12.6">
      <c r="J147" s="2"/>
      <c r="K147" s="2"/>
      <c r="L147" s="2"/>
      <c r="M147" s="2"/>
      <c r="N147" s="2"/>
      <c r="AN147" s="2"/>
    </row>
    <row r="148" spans="10:40" ht="12.6">
      <c r="J148" s="2"/>
      <c r="K148" s="2"/>
      <c r="L148" s="2"/>
      <c r="M148" s="2"/>
      <c r="N148" s="2"/>
      <c r="AN148" s="2"/>
    </row>
    <row r="149" spans="10:40" ht="12.6">
      <c r="J149" s="2"/>
      <c r="K149" s="2"/>
      <c r="L149" s="2"/>
      <c r="M149" s="2"/>
      <c r="N149" s="2"/>
      <c r="AN149" s="2"/>
    </row>
    <row r="150" spans="10:40" ht="12.6">
      <c r="J150" s="2"/>
      <c r="K150" s="2"/>
      <c r="L150" s="2"/>
      <c r="M150" s="2"/>
      <c r="N150" s="2"/>
      <c r="AN150" s="2"/>
    </row>
    <row r="151" spans="10:40" ht="12.6">
      <c r="J151" s="2"/>
      <c r="K151" s="2"/>
      <c r="L151" s="2"/>
      <c r="M151" s="2"/>
      <c r="N151" s="2"/>
      <c r="AN151" s="2"/>
    </row>
    <row r="152" spans="10:40" ht="12.6">
      <c r="J152" s="2"/>
      <c r="K152" s="2"/>
      <c r="L152" s="2"/>
      <c r="M152" s="2"/>
      <c r="N152" s="2"/>
      <c r="AN152" s="2"/>
    </row>
    <row r="153" spans="10:40" ht="12.6">
      <c r="J153" s="2"/>
      <c r="K153" s="2"/>
      <c r="L153" s="2"/>
      <c r="M153" s="2"/>
      <c r="N153" s="2"/>
      <c r="AN153" s="2"/>
    </row>
    <row r="154" spans="10:40" ht="12.6">
      <c r="J154" s="2"/>
      <c r="K154" s="2"/>
      <c r="L154" s="2"/>
      <c r="M154" s="2"/>
      <c r="N154" s="2"/>
      <c r="AN154" s="2"/>
    </row>
    <row r="155" spans="10:40" ht="12.6">
      <c r="J155" s="2"/>
      <c r="K155" s="2"/>
      <c r="L155" s="2"/>
      <c r="M155" s="2"/>
      <c r="N155" s="2"/>
      <c r="AN155" s="2"/>
    </row>
    <row r="156" spans="10:40" ht="12.6">
      <c r="J156" s="2"/>
      <c r="K156" s="2"/>
      <c r="L156" s="2"/>
      <c r="M156" s="2"/>
      <c r="N156" s="2"/>
      <c r="AN156" s="2"/>
    </row>
    <row r="157" spans="10:40" ht="12.6">
      <c r="J157" s="2"/>
      <c r="K157" s="2"/>
      <c r="L157" s="2"/>
      <c r="M157" s="2"/>
      <c r="N157" s="2"/>
      <c r="AN157" s="2"/>
    </row>
    <row r="158" spans="10:40" ht="12.6">
      <c r="J158" s="2"/>
      <c r="K158" s="2"/>
      <c r="L158" s="2"/>
      <c r="M158" s="2"/>
      <c r="N158" s="2"/>
      <c r="AN158" s="2"/>
    </row>
    <row r="159" spans="10:40" ht="12.6">
      <c r="J159" s="2"/>
      <c r="K159" s="2"/>
      <c r="L159" s="2"/>
      <c r="M159" s="2"/>
      <c r="N159" s="2"/>
      <c r="AN159" s="2"/>
    </row>
    <row r="160" spans="10:40" ht="12.6">
      <c r="J160" s="2"/>
      <c r="K160" s="2"/>
      <c r="L160" s="2"/>
      <c r="M160" s="2"/>
      <c r="N160" s="2"/>
      <c r="AN160" s="2"/>
    </row>
    <row r="161" spans="10:40" ht="12.6">
      <c r="J161" s="2"/>
      <c r="K161" s="2"/>
      <c r="L161" s="2"/>
      <c r="M161" s="2"/>
      <c r="N161" s="2"/>
      <c r="AN161" s="2"/>
    </row>
    <row r="162" spans="10:40" ht="12.6">
      <c r="J162" s="2"/>
      <c r="K162" s="2"/>
      <c r="L162" s="2"/>
      <c r="M162" s="2"/>
      <c r="N162" s="2"/>
      <c r="AN162" s="2"/>
    </row>
    <row r="163" spans="10:40" ht="12.6">
      <c r="J163" s="2"/>
      <c r="K163" s="2"/>
      <c r="L163" s="2"/>
      <c r="M163" s="2"/>
      <c r="N163" s="2"/>
      <c r="AN163" s="2"/>
    </row>
    <row r="164" spans="10:40" ht="12.6">
      <c r="J164" s="2"/>
      <c r="K164" s="2"/>
      <c r="L164" s="2"/>
      <c r="M164" s="2"/>
      <c r="N164" s="2"/>
      <c r="AN164" s="2"/>
    </row>
    <row r="165" spans="10:40" ht="12.6">
      <c r="J165" s="2"/>
      <c r="K165" s="2"/>
      <c r="L165" s="2"/>
      <c r="M165" s="2"/>
      <c r="N165" s="2"/>
      <c r="AN165" s="2"/>
    </row>
    <row r="166" spans="10:40" ht="12.6">
      <c r="J166" s="2"/>
      <c r="K166" s="2"/>
      <c r="L166" s="2"/>
      <c r="M166" s="2"/>
      <c r="N166" s="2"/>
      <c r="AN166" s="2"/>
    </row>
    <row r="167" spans="10:40" ht="12.6">
      <c r="J167" s="2"/>
      <c r="K167" s="2"/>
      <c r="L167" s="2"/>
      <c r="M167" s="2"/>
      <c r="N167" s="2"/>
      <c r="AN167" s="2"/>
    </row>
    <row r="168" spans="10:40" ht="12.6">
      <c r="J168" s="2"/>
      <c r="K168" s="2"/>
      <c r="L168" s="2"/>
      <c r="M168" s="2"/>
      <c r="N168" s="2"/>
      <c r="AN168" s="2"/>
    </row>
    <row r="169" spans="10:40" ht="12.6">
      <c r="J169" s="2"/>
      <c r="K169" s="2"/>
      <c r="L169" s="2"/>
      <c r="M169" s="2"/>
      <c r="N169" s="2"/>
      <c r="AN169" s="2"/>
    </row>
    <row r="170" spans="10:40" ht="12.6">
      <c r="J170" s="2"/>
      <c r="K170" s="2"/>
      <c r="L170" s="2"/>
      <c r="M170" s="2"/>
      <c r="N170" s="2"/>
      <c r="AN170" s="2"/>
    </row>
    <row r="171" spans="10:40" ht="12.6">
      <c r="J171" s="2"/>
      <c r="K171" s="2"/>
      <c r="L171" s="2"/>
      <c r="M171" s="2"/>
      <c r="N171" s="2"/>
      <c r="AN171" s="2"/>
    </row>
    <row r="172" spans="10:40" ht="12.6">
      <c r="J172" s="2"/>
      <c r="K172" s="2"/>
      <c r="L172" s="2"/>
      <c r="M172" s="2"/>
      <c r="N172" s="2"/>
      <c r="AN172" s="2"/>
    </row>
    <row r="173" spans="10:40" ht="12.6">
      <c r="J173" s="2"/>
      <c r="K173" s="2"/>
      <c r="L173" s="2"/>
      <c r="M173" s="2"/>
      <c r="N173" s="2"/>
      <c r="AN173" s="2"/>
    </row>
    <row r="174" spans="10:40" ht="12.6">
      <c r="J174" s="2"/>
      <c r="K174" s="2"/>
      <c r="L174" s="2"/>
      <c r="M174" s="2"/>
      <c r="N174" s="2"/>
      <c r="AN174" s="2"/>
    </row>
    <row r="175" spans="10:40" ht="12.6">
      <c r="J175" s="2"/>
      <c r="K175" s="2"/>
      <c r="L175" s="2"/>
      <c r="M175" s="2"/>
      <c r="N175" s="2"/>
      <c r="AN175" s="2"/>
    </row>
    <row r="176" spans="10:40" ht="12.6">
      <c r="J176" s="2"/>
      <c r="K176" s="2"/>
      <c r="L176" s="2"/>
      <c r="M176" s="2"/>
      <c r="N176" s="2"/>
      <c r="AN176" s="2"/>
    </row>
    <row r="177" spans="10:40" ht="12.6">
      <c r="J177" s="2"/>
      <c r="K177" s="2"/>
      <c r="L177" s="2"/>
      <c r="M177" s="2"/>
      <c r="N177" s="2"/>
      <c r="AN177" s="2"/>
    </row>
    <row r="178" spans="10:40" ht="12.6">
      <c r="J178" s="2"/>
      <c r="K178" s="2"/>
      <c r="L178" s="2"/>
      <c r="M178" s="2"/>
      <c r="N178" s="2"/>
      <c r="AN178" s="2"/>
    </row>
    <row r="179" spans="10:40" ht="12.6">
      <c r="J179" s="2"/>
      <c r="K179" s="2"/>
      <c r="L179" s="2"/>
      <c r="M179" s="2"/>
      <c r="N179" s="2"/>
      <c r="AN179" s="2"/>
    </row>
    <row r="180" spans="10:40" ht="12.6">
      <c r="J180" s="2"/>
      <c r="K180" s="2"/>
      <c r="L180" s="2"/>
      <c r="M180" s="2"/>
      <c r="N180" s="2"/>
      <c r="AN180" s="2"/>
    </row>
    <row r="181" spans="10:40" ht="12.6">
      <c r="J181" s="2"/>
      <c r="K181" s="2"/>
      <c r="L181" s="2"/>
      <c r="M181" s="2"/>
      <c r="N181" s="2"/>
      <c r="AN181" s="2"/>
    </row>
    <row r="182" spans="10:40" ht="12.6">
      <c r="J182" s="2"/>
      <c r="K182" s="2"/>
      <c r="L182" s="2"/>
      <c r="M182" s="2"/>
      <c r="N182" s="2"/>
      <c r="AN182" s="2"/>
    </row>
    <row r="183" spans="10:40" ht="12.6">
      <c r="J183" s="2"/>
      <c r="K183" s="2"/>
      <c r="L183" s="2"/>
      <c r="M183" s="2"/>
      <c r="N183" s="2"/>
      <c r="AN183" s="2"/>
    </row>
    <row r="184" spans="10:40" ht="12.6">
      <c r="J184" s="2"/>
      <c r="K184" s="2"/>
      <c r="L184" s="2"/>
      <c r="M184" s="2"/>
      <c r="N184" s="2"/>
      <c r="AN184" s="2"/>
    </row>
    <row r="185" spans="10:40" ht="12.6">
      <c r="J185" s="2"/>
      <c r="K185" s="2"/>
      <c r="L185" s="2"/>
      <c r="M185" s="2"/>
      <c r="N185" s="2"/>
      <c r="AN185" s="2"/>
    </row>
    <row r="186" spans="10:40" ht="12.6">
      <c r="J186" s="2"/>
      <c r="K186" s="2"/>
      <c r="L186" s="2"/>
      <c r="M186" s="2"/>
      <c r="N186" s="2"/>
      <c r="AN186" s="2"/>
    </row>
    <row r="187" spans="10:40" ht="12.6">
      <c r="J187" s="2"/>
      <c r="K187" s="2"/>
      <c r="L187" s="2"/>
      <c r="M187" s="2"/>
      <c r="N187" s="2"/>
      <c r="AN187" s="2"/>
    </row>
    <row r="188" spans="10:40" ht="12.6">
      <c r="J188" s="2"/>
      <c r="K188" s="2"/>
      <c r="L188" s="2"/>
      <c r="M188" s="2"/>
      <c r="N188" s="2"/>
      <c r="AN188" s="2"/>
    </row>
    <row r="189" spans="10:40" ht="12.6">
      <c r="J189" s="2"/>
      <c r="K189" s="2"/>
      <c r="L189" s="2"/>
      <c r="M189" s="2"/>
      <c r="N189" s="2"/>
      <c r="AN189" s="2"/>
    </row>
    <row r="190" spans="10:40" ht="12.6">
      <c r="J190" s="2"/>
      <c r="K190" s="2"/>
      <c r="L190" s="2"/>
      <c r="M190" s="2"/>
      <c r="N190" s="2"/>
      <c r="AN190" s="2"/>
    </row>
    <row r="191" spans="10:40" ht="12.6">
      <c r="J191" s="2"/>
      <c r="K191" s="2"/>
      <c r="L191" s="2"/>
      <c r="M191" s="2"/>
      <c r="N191" s="2"/>
      <c r="AN191" s="2"/>
    </row>
    <row r="192" spans="10:40" ht="12.6">
      <c r="J192" s="2"/>
      <c r="K192" s="2"/>
      <c r="L192" s="2"/>
      <c r="M192" s="2"/>
      <c r="N192" s="2"/>
      <c r="AN192" s="2"/>
    </row>
    <row r="193" spans="10:40" ht="12.6">
      <c r="J193" s="2"/>
      <c r="K193" s="2"/>
      <c r="L193" s="2"/>
      <c r="M193" s="2"/>
      <c r="N193" s="2"/>
      <c r="AN193" s="2"/>
    </row>
    <row r="194" spans="10:40" ht="12.6">
      <c r="J194" s="2"/>
      <c r="K194" s="2"/>
      <c r="L194" s="2"/>
      <c r="M194" s="2"/>
      <c r="N194" s="2"/>
      <c r="AN194" s="2"/>
    </row>
    <row r="195" spans="10:40" ht="12.6">
      <c r="J195" s="2"/>
      <c r="K195" s="2"/>
      <c r="L195" s="2"/>
      <c r="M195" s="2"/>
      <c r="N195" s="2"/>
      <c r="AN195" s="2"/>
    </row>
    <row r="196" spans="10:40" ht="12.6">
      <c r="J196" s="2"/>
      <c r="K196" s="2"/>
      <c r="L196" s="2"/>
      <c r="M196" s="2"/>
      <c r="N196" s="2"/>
      <c r="AN196" s="2"/>
    </row>
    <row r="197" spans="10:40" ht="12.6">
      <c r="J197" s="2"/>
      <c r="K197" s="2"/>
      <c r="L197" s="2"/>
      <c r="M197" s="2"/>
      <c r="N197" s="2"/>
      <c r="AN197" s="2"/>
    </row>
    <row r="198" spans="10:40" ht="12.6">
      <c r="J198" s="2"/>
      <c r="K198" s="2"/>
      <c r="L198" s="2"/>
      <c r="M198" s="2"/>
      <c r="N198" s="2"/>
      <c r="AN198" s="2"/>
    </row>
    <row r="199" spans="10:40" ht="12.6">
      <c r="J199" s="2"/>
      <c r="K199" s="2"/>
      <c r="L199" s="2"/>
      <c r="M199" s="2"/>
      <c r="N199" s="2"/>
      <c r="AN199" s="2"/>
    </row>
    <row r="200" spans="10:40" ht="12.6">
      <c r="J200" s="2"/>
      <c r="K200" s="2"/>
      <c r="L200" s="2"/>
      <c r="M200" s="2"/>
      <c r="N200" s="2"/>
      <c r="AN200" s="2"/>
    </row>
    <row r="201" spans="10:40" ht="12.6">
      <c r="J201" s="2"/>
      <c r="K201" s="2"/>
      <c r="L201" s="2"/>
      <c r="M201" s="2"/>
      <c r="N201" s="2"/>
      <c r="AN201" s="2"/>
    </row>
    <row r="202" spans="10:40" ht="12.6">
      <c r="J202" s="2"/>
      <c r="K202" s="2"/>
      <c r="L202" s="2"/>
      <c r="M202" s="2"/>
      <c r="N202" s="2"/>
      <c r="AN202" s="2"/>
    </row>
    <row r="203" spans="10:40" ht="12.6">
      <c r="J203" s="2"/>
      <c r="K203" s="2"/>
      <c r="L203" s="2"/>
      <c r="M203" s="2"/>
      <c r="N203" s="2"/>
      <c r="AN203" s="2"/>
    </row>
    <row r="204" spans="10:40" ht="12.6">
      <c r="J204" s="2"/>
      <c r="K204" s="2"/>
      <c r="L204" s="2"/>
      <c r="M204" s="2"/>
      <c r="N204" s="2"/>
      <c r="AN204" s="2"/>
    </row>
    <row r="205" spans="10:40" ht="12.6">
      <c r="J205" s="2"/>
      <c r="K205" s="2"/>
      <c r="L205" s="2"/>
      <c r="M205" s="2"/>
      <c r="N205" s="2"/>
      <c r="AN205" s="2"/>
    </row>
    <row r="206" spans="10:40" ht="12.6">
      <c r="J206" s="2"/>
      <c r="K206" s="2"/>
      <c r="L206" s="2"/>
      <c r="M206" s="2"/>
      <c r="N206" s="2"/>
      <c r="AN206" s="2"/>
    </row>
    <row r="207" spans="10:40" ht="12.6">
      <c r="J207" s="2"/>
      <c r="K207" s="2"/>
      <c r="L207" s="2"/>
      <c r="M207" s="2"/>
      <c r="N207" s="2"/>
      <c r="AN207" s="2"/>
    </row>
    <row r="208" spans="10:40" ht="12.6">
      <c r="J208" s="2"/>
      <c r="K208" s="2"/>
      <c r="L208" s="2"/>
      <c r="M208" s="2"/>
      <c r="N208" s="2"/>
      <c r="AN208" s="2"/>
    </row>
    <row r="209" spans="10:40" ht="12.6">
      <c r="J209" s="2"/>
      <c r="K209" s="2"/>
      <c r="L209" s="2"/>
      <c r="M209" s="2"/>
      <c r="N209" s="2"/>
      <c r="AN209" s="2"/>
    </row>
    <row r="210" spans="10:40" ht="12.6">
      <c r="J210" s="2"/>
      <c r="K210" s="2"/>
      <c r="L210" s="2"/>
      <c r="M210" s="2"/>
      <c r="N210" s="2"/>
      <c r="AN210" s="2"/>
    </row>
    <row r="211" spans="10:40" ht="12.6">
      <c r="J211" s="2"/>
      <c r="K211" s="2"/>
      <c r="L211" s="2"/>
      <c r="M211" s="2"/>
      <c r="N211" s="2"/>
      <c r="AN211" s="2"/>
    </row>
    <row r="212" spans="10:40" ht="12.6">
      <c r="J212" s="2"/>
      <c r="K212" s="2"/>
      <c r="L212" s="2"/>
      <c r="M212" s="2"/>
      <c r="N212" s="2"/>
      <c r="AN212" s="2"/>
    </row>
    <row r="213" spans="10:40" ht="12.6">
      <c r="J213" s="2"/>
      <c r="K213" s="2"/>
      <c r="L213" s="2"/>
      <c r="M213" s="2"/>
      <c r="N213" s="2"/>
      <c r="AN213" s="2"/>
    </row>
    <row r="214" spans="10:40" ht="12.6">
      <c r="J214" s="2"/>
      <c r="K214" s="2"/>
      <c r="L214" s="2"/>
      <c r="M214" s="2"/>
      <c r="N214" s="2"/>
      <c r="AN214" s="2"/>
    </row>
    <row r="215" spans="10:40" ht="12.6">
      <c r="J215" s="2"/>
      <c r="K215" s="2"/>
      <c r="L215" s="2"/>
      <c r="M215" s="2"/>
      <c r="N215" s="2"/>
      <c r="AN215" s="2"/>
    </row>
    <row r="216" spans="10:40" ht="12.6">
      <c r="J216" s="2"/>
      <c r="K216" s="2"/>
      <c r="L216" s="2"/>
      <c r="M216" s="2"/>
      <c r="N216" s="2"/>
      <c r="AN216" s="2"/>
    </row>
    <row r="217" spans="10:40" ht="12.6">
      <c r="J217" s="2"/>
      <c r="K217" s="2"/>
      <c r="L217" s="2"/>
      <c r="M217" s="2"/>
      <c r="N217" s="2"/>
      <c r="AN217" s="2"/>
    </row>
    <row r="218" spans="10:40" ht="12.6">
      <c r="J218" s="2"/>
      <c r="K218" s="2"/>
      <c r="L218" s="2"/>
      <c r="M218" s="2"/>
      <c r="N218" s="2"/>
      <c r="AN218" s="2"/>
    </row>
    <row r="219" spans="10:40" ht="12.6">
      <c r="J219" s="2"/>
      <c r="K219" s="2"/>
      <c r="L219" s="2"/>
      <c r="M219" s="2"/>
      <c r="N219" s="2"/>
      <c r="AN219" s="2"/>
    </row>
    <row r="220" spans="10:40" ht="12.6">
      <c r="J220" s="2"/>
      <c r="K220" s="2"/>
      <c r="L220" s="2"/>
      <c r="M220" s="2"/>
      <c r="N220" s="2"/>
      <c r="AN220" s="2"/>
    </row>
    <row r="221" spans="10:40" ht="12.6">
      <c r="J221" s="2"/>
      <c r="K221" s="2"/>
      <c r="L221" s="2"/>
      <c r="M221" s="2"/>
      <c r="N221" s="2"/>
      <c r="AN221" s="2"/>
    </row>
    <row r="222" spans="10:40" ht="12.6">
      <c r="J222" s="2"/>
      <c r="K222" s="2"/>
      <c r="L222" s="2"/>
      <c r="M222" s="2"/>
      <c r="N222" s="2"/>
      <c r="AN222" s="2"/>
    </row>
    <row r="223" spans="10:40" ht="12.6">
      <c r="J223" s="2"/>
      <c r="K223" s="2"/>
      <c r="L223" s="2"/>
      <c r="M223" s="2"/>
      <c r="N223" s="2"/>
      <c r="AN223" s="2"/>
    </row>
    <row r="224" spans="10:40" ht="12.6">
      <c r="J224" s="2"/>
      <c r="K224" s="2"/>
      <c r="L224" s="2"/>
      <c r="M224" s="2"/>
      <c r="N224" s="2"/>
      <c r="AN224" s="2"/>
    </row>
    <row r="225" spans="10:40" ht="12.6">
      <c r="J225" s="2"/>
      <c r="K225" s="2"/>
      <c r="L225" s="2"/>
      <c r="M225" s="2"/>
      <c r="N225" s="2"/>
      <c r="AN225" s="2"/>
    </row>
    <row r="226" spans="10:40" ht="12.6">
      <c r="J226" s="2"/>
      <c r="K226" s="2"/>
      <c r="L226" s="2"/>
      <c r="M226" s="2"/>
      <c r="N226" s="2"/>
      <c r="AN226" s="2"/>
    </row>
    <row r="227" spans="10:40" ht="12.6">
      <c r="J227" s="2"/>
      <c r="K227" s="2"/>
      <c r="L227" s="2"/>
      <c r="M227" s="2"/>
      <c r="N227" s="2"/>
      <c r="AN227" s="2"/>
    </row>
    <row r="228" spans="10:40" ht="12.6">
      <c r="J228" s="2"/>
      <c r="K228" s="2"/>
      <c r="L228" s="2"/>
      <c r="M228" s="2"/>
      <c r="N228" s="2"/>
      <c r="AN228" s="2"/>
    </row>
    <row r="229" spans="10:40" ht="12.6">
      <c r="J229" s="2"/>
      <c r="K229" s="2"/>
      <c r="L229" s="2"/>
      <c r="M229" s="2"/>
      <c r="N229" s="2"/>
      <c r="AN229" s="2"/>
    </row>
    <row r="230" spans="10:40" ht="12.6">
      <c r="J230" s="2"/>
      <c r="K230" s="2"/>
      <c r="L230" s="2"/>
      <c r="M230" s="2"/>
      <c r="N230" s="2"/>
      <c r="AN230" s="2"/>
    </row>
    <row r="231" spans="10:40" ht="12.6">
      <c r="J231" s="2"/>
      <c r="K231" s="2"/>
      <c r="L231" s="2"/>
      <c r="M231" s="2"/>
      <c r="N231" s="2"/>
      <c r="AN231" s="2"/>
    </row>
    <row r="232" spans="10:40" ht="12.6">
      <c r="J232" s="2"/>
      <c r="K232" s="2"/>
      <c r="L232" s="2"/>
      <c r="M232" s="2"/>
      <c r="N232" s="2"/>
      <c r="AN232" s="2"/>
    </row>
    <row r="233" spans="10:40" ht="12.6">
      <c r="J233" s="2"/>
      <c r="K233" s="2"/>
      <c r="L233" s="2"/>
      <c r="M233" s="2"/>
      <c r="N233" s="2"/>
      <c r="AN233" s="2"/>
    </row>
    <row r="234" spans="10:40" ht="12.6">
      <c r="J234" s="2"/>
      <c r="K234" s="2"/>
      <c r="L234" s="2"/>
      <c r="M234" s="2"/>
      <c r="N234" s="2"/>
      <c r="AN234" s="2"/>
    </row>
    <row r="235" spans="10:40" ht="12.6">
      <c r="J235" s="2"/>
      <c r="K235" s="2"/>
      <c r="L235" s="2"/>
      <c r="M235" s="2"/>
      <c r="N235" s="2"/>
      <c r="AN235" s="2"/>
    </row>
    <row r="236" spans="10:40" ht="12.6">
      <c r="J236" s="2"/>
      <c r="K236" s="2"/>
      <c r="L236" s="2"/>
      <c r="M236" s="2"/>
      <c r="N236" s="2"/>
      <c r="AN236" s="2"/>
    </row>
    <row r="237" spans="10:40" ht="12.6">
      <c r="J237" s="2"/>
      <c r="K237" s="2"/>
      <c r="L237" s="2"/>
      <c r="M237" s="2"/>
      <c r="N237" s="2"/>
      <c r="AN237" s="2"/>
    </row>
    <row r="238" spans="10:40" ht="12.6">
      <c r="J238" s="2"/>
      <c r="K238" s="2"/>
      <c r="L238" s="2"/>
      <c r="M238" s="2"/>
      <c r="N238" s="2"/>
      <c r="AN238" s="2"/>
    </row>
    <row r="239" spans="10:40" ht="12.6">
      <c r="J239" s="2"/>
      <c r="K239" s="2"/>
      <c r="L239" s="2"/>
      <c r="M239" s="2"/>
      <c r="N239" s="2"/>
      <c r="AN239" s="2"/>
    </row>
    <row r="240" spans="10:40" ht="12.6">
      <c r="J240" s="2"/>
      <c r="K240" s="2"/>
      <c r="L240" s="2"/>
      <c r="M240" s="2"/>
      <c r="N240" s="2"/>
      <c r="AN240" s="2"/>
    </row>
    <row r="241" spans="10:40" ht="12.6">
      <c r="J241" s="2"/>
      <c r="K241" s="2"/>
      <c r="L241" s="2"/>
      <c r="M241" s="2"/>
      <c r="N241" s="2"/>
      <c r="AN241" s="2"/>
    </row>
    <row r="242" spans="10:40" ht="12.6">
      <c r="J242" s="2"/>
      <c r="K242" s="2"/>
      <c r="L242" s="2"/>
      <c r="M242" s="2"/>
      <c r="N242" s="2"/>
      <c r="AN242" s="2"/>
    </row>
    <row r="243" spans="10:40" ht="12.6">
      <c r="J243" s="2"/>
      <c r="K243" s="2"/>
      <c r="L243" s="2"/>
      <c r="M243" s="2"/>
      <c r="N243" s="2"/>
      <c r="AN243" s="2"/>
    </row>
    <row r="244" spans="10:40" ht="12.6">
      <c r="J244" s="2"/>
      <c r="K244" s="2"/>
      <c r="L244" s="2"/>
      <c r="M244" s="2"/>
      <c r="N244" s="2"/>
      <c r="AN244" s="2"/>
    </row>
    <row r="245" spans="10:40" ht="12.6">
      <c r="J245" s="2"/>
      <c r="K245" s="2"/>
      <c r="L245" s="2"/>
      <c r="M245" s="2"/>
      <c r="N245" s="2"/>
      <c r="AN245" s="2"/>
    </row>
    <row r="246" spans="10:40" ht="12.6">
      <c r="J246" s="2"/>
      <c r="K246" s="2"/>
      <c r="L246" s="2"/>
      <c r="M246" s="2"/>
      <c r="N246" s="2"/>
      <c r="AN246" s="2"/>
    </row>
    <row r="247" spans="10:40" ht="12.6">
      <c r="J247" s="2"/>
      <c r="K247" s="2"/>
      <c r="L247" s="2"/>
      <c r="M247" s="2"/>
      <c r="N247" s="2"/>
      <c r="AN247" s="2"/>
    </row>
    <row r="248" spans="10:40" ht="12.6">
      <c r="J248" s="2"/>
      <c r="K248" s="2"/>
      <c r="L248" s="2"/>
      <c r="M248" s="2"/>
      <c r="N248" s="2"/>
      <c r="AN248" s="2"/>
    </row>
    <row r="249" spans="10:40" ht="12.6">
      <c r="J249" s="2"/>
      <c r="K249" s="2"/>
      <c r="L249" s="2"/>
      <c r="M249" s="2"/>
      <c r="N249" s="2"/>
      <c r="AN249" s="2"/>
    </row>
    <row r="250" spans="10:40" ht="12.6">
      <c r="J250" s="2"/>
      <c r="K250" s="2"/>
      <c r="L250" s="2"/>
      <c r="M250" s="2"/>
      <c r="N250" s="2"/>
      <c r="AN250" s="2"/>
    </row>
    <row r="251" spans="10:40" ht="12.6">
      <c r="J251" s="2"/>
      <c r="K251" s="2"/>
      <c r="L251" s="2"/>
      <c r="M251" s="2"/>
      <c r="N251" s="2"/>
      <c r="AN251" s="2"/>
    </row>
    <row r="252" spans="10:40" ht="12.6">
      <c r="J252" s="2"/>
      <c r="K252" s="2"/>
      <c r="L252" s="2"/>
      <c r="M252" s="2"/>
      <c r="N252" s="2"/>
      <c r="AN252" s="2"/>
    </row>
    <row r="253" spans="10:40" ht="12.6">
      <c r="J253" s="2"/>
      <c r="K253" s="2"/>
      <c r="L253" s="2"/>
      <c r="M253" s="2"/>
      <c r="N253" s="2"/>
      <c r="AN253" s="2"/>
    </row>
    <row r="254" spans="10:40" ht="12.6">
      <c r="J254" s="2"/>
      <c r="K254" s="2"/>
      <c r="L254" s="2"/>
      <c r="M254" s="2"/>
      <c r="N254" s="2"/>
      <c r="AN254" s="2"/>
    </row>
    <row r="255" spans="10:40" ht="12.6">
      <c r="J255" s="2"/>
      <c r="K255" s="2"/>
      <c r="L255" s="2"/>
      <c r="M255" s="2"/>
      <c r="N255" s="2"/>
      <c r="AN255" s="2"/>
    </row>
    <row r="256" spans="10:40" ht="12.6">
      <c r="J256" s="2"/>
      <c r="K256" s="2"/>
      <c r="L256" s="2"/>
      <c r="M256" s="2"/>
      <c r="N256" s="2"/>
      <c r="AN256" s="2"/>
    </row>
    <row r="257" spans="10:40" ht="12.6">
      <c r="J257" s="2"/>
      <c r="K257" s="2"/>
      <c r="L257" s="2"/>
      <c r="M257" s="2"/>
      <c r="N257" s="2"/>
      <c r="AN257" s="2"/>
    </row>
    <row r="258" spans="10:40" ht="12.6">
      <c r="J258" s="2"/>
      <c r="K258" s="2"/>
      <c r="L258" s="2"/>
      <c r="M258" s="2"/>
      <c r="N258" s="2"/>
      <c r="AN258" s="2"/>
    </row>
    <row r="259" spans="10:40" ht="12.6">
      <c r="J259" s="2"/>
      <c r="K259" s="2"/>
      <c r="L259" s="2"/>
      <c r="M259" s="2"/>
      <c r="N259" s="2"/>
      <c r="AN259" s="2"/>
    </row>
    <row r="260" spans="10:40" ht="12.6">
      <c r="J260" s="2"/>
      <c r="K260" s="2"/>
      <c r="L260" s="2"/>
      <c r="M260" s="2"/>
      <c r="N260" s="2"/>
      <c r="AN260" s="2"/>
    </row>
    <row r="261" spans="10:40" ht="12.6">
      <c r="J261" s="2"/>
      <c r="K261" s="2"/>
      <c r="L261" s="2"/>
      <c r="M261" s="2"/>
      <c r="N261" s="2"/>
      <c r="AN261" s="2"/>
    </row>
    <row r="262" spans="10:40" ht="12.6">
      <c r="J262" s="2"/>
      <c r="K262" s="2"/>
      <c r="L262" s="2"/>
      <c r="M262" s="2"/>
      <c r="N262" s="2"/>
      <c r="AN262" s="2"/>
    </row>
    <row r="263" spans="10:40" ht="12.6">
      <c r="J263" s="2"/>
      <c r="K263" s="2"/>
      <c r="L263" s="2"/>
      <c r="M263" s="2"/>
      <c r="N263" s="2"/>
      <c r="AN263" s="2"/>
    </row>
    <row r="264" spans="10:40" ht="12.6">
      <c r="J264" s="2"/>
      <c r="K264" s="2"/>
      <c r="L264" s="2"/>
      <c r="M264" s="2"/>
      <c r="N264" s="2"/>
      <c r="AN264" s="2"/>
    </row>
    <row r="265" spans="10:40" ht="12.6">
      <c r="J265" s="2"/>
      <c r="K265" s="2"/>
      <c r="L265" s="2"/>
      <c r="M265" s="2"/>
      <c r="N265" s="2"/>
      <c r="AN265" s="2"/>
    </row>
    <row r="266" spans="10:40" ht="12.6">
      <c r="J266" s="2"/>
      <c r="K266" s="2"/>
      <c r="L266" s="2"/>
      <c r="M266" s="2"/>
      <c r="N266" s="2"/>
      <c r="AN266" s="2"/>
    </row>
    <row r="267" spans="10:40" ht="12.6">
      <c r="J267" s="2"/>
      <c r="K267" s="2"/>
      <c r="L267" s="2"/>
      <c r="M267" s="2"/>
      <c r="N267" s="2"/>
      <c r="AN267" s="2"/>
    </row>
    <row r="268" spans="10:40" ht="12.6">
      <c r="J268" s="2"/>
      <c r="K268" s="2"/>
      <c r="L268" s="2"/>
      <c r="M268" s="2"/>
      <c r="N268" s="2"/>
      <c r="AN268" s="2"/>
    </row>
    <row r="269" spans="10:40" ht="12.6">
      <c r="J269" s="2"/>
      <c r="K269" s="2"/>
      <c r="L269" s="2"/>
      <c r="M269" s="2"/>
      <c r="N269" s="2"/>
      <c r="AN269" s="2"/>
    </row>
    <row r="270" spans="10:40" ht="12.6">
      <c r="J270" s="2"/>
      <c r="K270" s="2"/>
      <c r="L270" s="2"/>
      <c r="M270" s="2"/>
      <c r="N270" s="2"/>
      <c r="AN270" s="2"/>
    </row>
    <row r="271" spans="10:40" ht="12.6">
      <c r="J271" s="2"/>
      <c r="K271" s="2"/>
      <c r="L271" s="2"/>
      <c r="M271" s="2"/>
      <c r="N271" s="2"/>
      <c r="AN271" s="2"/>
    </row>
    <row r="272" spans="10:40" ht="12.6">
      <c r="J272" s="2"/>
      <c r="K272" s="2"/>
      <c r="L272" s="2"/>
      <c r="M272" s="2"/>
      <c r="N272" s="2"/>
      <c r="AN272" s="2"/>
    </row>
    <row r="273" spans="10:40" ht="12.6">
      <c r="J273" s="2"/>
      <c r="K273" s="2"/>
      <c r="L273" s="2"/>
      <c r="M273" s="2"/>
      <c r="N273" s="2"/>
      <c r="AN273" s="2"/>
    </row>
    <row r="274" spans="10:40" ht="12.6">
      <c r="J274" s="2"/>
      <c r="K274" s="2"/>
      <c r="L274" s="2"/>
      <c r="M274" s="2"/>
      <c r="N274" s="2"/>
      <c r="AN274" s="2"/>
    </row>
    <row r="275" spans="10:40" ht="12.6">
      <c r="J275" s="2"/>
      <c r="K275" s="2"/>
      <c r="L275" s="2"/>
      <c r="M275" s="2"/>
      <c r="N275" s="2"/>
      <c r="AN275" s="2"/>
    </row>
    <row r="276" spans="10:40" ht="12.6">
      <c r="J276" s="2"/>
      <c r="K276" s="2"/>
      <c r="L276" s="2"/>
      <c r="M276" s="2"/>
      <c r="N276" s="2"/>
      <c r="AN276" s="2"/>
    </row>
    <row r="277" spans="10:40" ht="12.6">
      <c r="J277" s="2"/>
      <c r="K277" s="2"/>
      <c r="L277" s="2"/>
      <c r="M277" s="2"/>
      <c r="N277" s="2"/>
      <c r="AN277" s="2"/>
    </row>
    <row r="278" spans="10:40" ht="12.6">
      <c r="J278" s="2"/>
      <c r="K278" s="2"/>
      <c r="L278" s="2"/>
      <c r="M278" s="2"/>
      <c r="N278" s="2"/>
      <c r="AN278" s="2"/>
    </row>
    <row r="279" spans="10:40" ht="12.6">
      <c r="J279" s="2"/>
      <c r="K279" s="2"/>
      <c r="L279" s="2"/>
      <c r="M279" s="2"/>
      <c r="N279" s="2"/>
      <c r="AN279" s="2"/>
    </row>
    <row r="280" spans="10:40" ht="12.6">
      <c r="J280" s="2"/>
      <c r="K280" s="2"/>
      <c r="L280" s="2"/>
      <c r="M280" s="2"/>
      <c r="N280" s="2"/>
      <c r="AN280" s="2"/>
    </row>
    <row r="281" spans="10:40" ht="12.6">
      <c r="J281" s="2"/>
      <c r="K281" s="2"/>
      <c r="L281" s="2"/>
      <c r="M281" s="2"/>
      <c r="N281" s="2"/>
      <c r="AN281" s="2"/>
    </row>
    <row r="282" spans="10:40" ht="12.6">
      <c r="J282" s="2"/>
      <c r="K282" s="2"/>
      <c r="L282" s="2"/>
      <c r="M282" s="2"/>
      <c r="N282" s="2"/>
      <c r="AN282" s="2"/>
    </row>
    <row r="283" spans="10:40" ht="12.6">
      <c r="J283" s="2"/>
      <c r="K283" s="2"/>
      <c r="L283" s="2"/>
      <c r="M283" s="2"/>
      <c r="N283" s="2"/>
      <c r="AN283" s="2"/>
    </row>
    <row r="284" spans="10:40" ht="12.6">
      <c r="J284" s="2"/>
      <c r="K284" s="2"/>
      <c r="L284" s="2"/>
      <c r="M284" s="2"/>
      <c r="N284" s="2"/>
      <c r="AN284" s="2"/>
    </row>
    <row r="285" spans="10:40" ht="12.6">
      <c r="J285" s="2"/>
      <c r="K285" s="2"/>
      <c r="L285" s="2"/>
      <c r="M285" s="2"/>
      <c r="N285" s="2"/>
      <c r="AN285" s="2"/>
    </row>
    <row r="286" spans="10:40" ht="12.6">
      <c r="J286" s="2"/>
      <c r="K286" s="2"/>
      <c r="L286" s="2"/>
      <c r="M286" s="2"/>
      <c r="N286" s="2"/>
      <c r="AN286" s="2"/>
    </row>
    <row r="287" spans="10:40" ht="12.6">
      <c r="J287" s="2"/>
      <c r="K287" s="2"/>
      <c r="L287" s="2"/>
      <c r="M287" s="2"/>
      <c r="N287" s="2"/>
      <c r="AN287" s="2"/>
    </row>
    <row r="288" spans="10:40" ht="12.6">
      <c r="J288" s="2"/>
      <c r="K288" s="2"/>
      <c r="L288" s="2"/>
      <c r="M288" s="2"/>
      <c r="N288" s="2"/>
      <c r="AN288" s="2"/>
    </row>
    <row r="289" spans="10:40" ht="12.6">
      <c r="J289" s="2"/>
      <c r="K289" s="2"/>
      <c r="L289" s="2"/>
      <c r="M289" s="2"/>
      <c r="N289" s="2"/>
      <c r="AN289" s="2"/>
    </row>
    <row r="290" spans="10:40" ht="12.6">
      <c r="J290" s="2"/>
      <c r="K290" s="2"/>
      <c r="L290" s="2"/>
      <c r="M290" s="2"/>
      <c r="N290" s="2"/>
      <c r="AN290" s="2"/>
    </row>
    <row r="291" spans="10:40" ht="12.6">
      <c r="J291" s="2"/>
      <c r="K291" s="2"/>
      <c r="L291" s="2"/>
      <c r="M291" s="2"/>
      <c r="N291" s="2"/>
      <c r="AN291" s="2"/>
    </row>
    <row r="292" spans="10:40" ht="12.6">
      <c r="J292" s="2"/>
      <c r="K292" s="2"/>
      <c r="L292" s="2"/>
      <c r="M292" s="2"/>
      <c r="N292" s="2"/>
      <c r="AN292" s="2"/>
    </row>
    <row r="293" spans="10:40" ht="12.6">
      <c r="J293" s="2"/>
      <c r="K293" s="2"/>
      <c r="L293" s="2"/>
      <c r="M293" s="2"/>
      <c r="N293" s="2"/>
      <c r="AN293" s="2"/>
    </row>
    <row r="294" spans="10:40" ht="12.6">
      <c r="J294" s="2"/>
      <c r="K294" s="2"/>
      <c r="L294" s="2"/>
      <c r="M294" s="2"/>
      <c r="N294" s="2"/>
      <c r="AN294" s="2"/>
    </row>
    <row r="295" spans="10:40" ht="12.6">
      <c r="J295" s="2"/>
      <c r="K295" s="2"/>
      <c r="L295" s="2"/>
      <c r="M295" s="2"/>
      <c r="N295" s="2"/>
      <c r="AN295" s="2"/>
    </row>
    <row r="296" spans="10:40" ht="12.6">
      <c r="J296" s="2"/>
      <c r="K296" s="2"/>
      <c r="L296" s="2"/>
      <c r="M296" s="2"/>
      <c r="N296" s="2"/>
      <c r="AN296" s="2"/>
    </row>
    <row r="297" spans="10:40" ht="12.6">
      <c r="J297" s="2"/>
      <c r="K297" s="2"/>
      <c r="L297" s="2"/>
      <c r="M297" s="2"/>
      <c r="N297" s="2"/>
      <c r="AN297" s="2"/>
    </row>
    <row r="298" spans="10:40" ht="12.6">
      <c r="J298" s="2"/>
      <c r="K298" s="2"/>
      <c r="L298" s="2"/>
      <c r="M298" s="2"/>
      <c r="N298" s="2"/>
      <c r="AN298" s="2"/>
    </row>
    <row r="299" spans="10:40" ht="12.6">
      <c r="J299" s="2"/>
      <c r="K299" s="2"/>
      <c r="L299" s="2"/>
      <c r="M299" s="2"/>
      <c r="N299" s="2"/>
      <c r="AN299" s="2"/>
    </row>
    <row r="300" spans="10:40" ht="12.6">
      <c r="J300" s="2"/>
      <c r="K300" s="2"/>
      <c r="L300" s="2"/>
      <c r="M300" s="2"/>
      <c r="N300" s="2"/>
      <c r="AN300" s="2"/>
    </row>
    <row r="301" spans="10:40" ht="12.6">
      <c r="J301" s="2"/>
      <c r="K301" s="2"/>
      <c r="L301" s="2"/>
      <c r="M301" s="2"/>
      <c r="N301" s="2"/>
      <c r="AN301" s="2"/>
    </row>
    <row r="302" spans="10:40" ht="12.6">
      <c r="J302" s="2"/>
      <c r="K302" s="2"/>
      <c r="L302" s="2"/>
      <c r="M302" s="2"/>
      <c r="N302" s="2"/>
      <c r="AN302" s="2"/>
    </row>
    <row r="303" spans="10:40" ht="12.6">
      <c r="J303" s="2"/>
      <c r="K303" s="2"/>
      <c r="L303" s="2"/>
      <c r="M303" s="2"/>
      <c r="N303" s="2"/>
      <c r="AN303" s="2"/>
    </row>
    <row r="304" spans="10:40" ht="12.6">
      <c r="J304" s="2"/>
      <c r="K304" s="2"/>
      <c r="L304" s="2"/>
      <c r="M304" s="2"/>
      <c r="N304" s="2"/>
      <c r="AN304" s="2"/>
    </row>
    <row r="305" spans="10:40" ht="12.6">
      <c r="J305" s="2"/>
      <c r="K305" s="2"/>
      <c r="L305" s="2"/>
      <c r="M305" s="2"/>
      <c r="N305" s="2"/>
      <c r="AN305" s="2"/>
    </row>
    <row r="306" spans="10:40" ht="12.6">
      <c r="J306" s="2"/>
      <c r="K306" s="2"/>
      <c r="L306" s="2"/>
      <c r="M306" s="2"/>
      <c r="N306" s="2"/>
      <c r="AN306" s="2"/>
    </row>
    <row r="307" spans="10:40" ht="12.6">
      <c r="J307" s="2"/>
      <c r="K307" s="2"/>
      <c r="L307" s="2"/>
      <c r="M307" s="2"/>
      <c r="N307" s="2"/>
      <c r="AN307" s="2"/>
    </row>
    <row r="308" spans="10:40" ht="12.6">
      <c r="J308" s="2"/>
      <c r="K308" s="2"/>
      <c r="L308" s="2"/>
      <c r="M308" s="2"/>
      <c r="N308" s="2"/>
      <c r="AN308" s="2"/>
    </row>
    <row r="309" spans="10:40" ht="12.6">
      <c r="J309" s="2"/>
      <c r="K309" s="2"/>
      <c r="L309" s="2"/>
      <c r="M309" s="2"/>
      <c r="N309" s="2"/>
      <c r="AN309" s="2"/>
    </row>
    <row r="310" spans="10:40" ht="12.6">
      <c r="J310" s="2"/>
      <c r="K310" s="2"/>
      <c r="L310" s="2"/>
      <c r="M310" s="2"/>
      <c r="N310" s="2"/>
      <c r="AN310" s="2"/>
    </row>
    <row r="311" spans="10:40" ht="12.6">
      <c r="J311" s="2"/>
      <c r="K311" s="2"/>
      <c r="L311" s="2"/>
      <c r="M311" s="2"/>
      <c r="N311" s="2"/>
      <c r="AN311" s="2"/>
    </row>
    <row r="312" spans="10:40" ht="12.6">
      <c r="J312" s="2"/>
      <c r="K312" s="2"/>
      <c r="L312" s="2"/>
      <c r="M312" s="2"/>
      <c r="N312" s="2"/>
      <c r="AN312" s="2"/>
    </row>
    <row r="313" spans="10:40" ht="12.6">
      <c r="J313" s="2"/>
      <c r="K313" s="2"/>
      <c r="L313" s="2"/>
      <c r="M313" s="2"/>
      <c r="N313" s="2"/>
      <c r="AN313" s="2"/>
    </row>
    <row r="314" spans="10:40" ht="12.6">
      <c r="J314" s="2"/>
      <c r="K314" s="2"/>
      <c r="L314" s="2"/>
      <c r="M314" s="2"/>
      <c r="N314" s="2"/>
      <c r="AN314" s="2"/>
    </row>
    <row r="315" spans="10:40" ht="12.6">
      <c r="J315" s="2"/>
      <c r="K315" s="2"/>
      <c r="L315" s="2"/>
      <c r="M315" s="2"/>
      <c r="N315" s="2"/>
      <c r="AN315" s="2"/>
    </row>
    <row r="316" spans="10:40" ht="12.6">
      <c r="J316" s="2"/>
      <c r="K316" s="2"/>
      <c r="L316" s="2"/>
      <c r="M316" s="2"/>
      <c r="N316" s="2"/>
      <c r="AN316" s="2"/>
    </row>
    <row r="317" spans="10:40" ht="12.6">
      <c r="J317" s="2"/>
      <c r="K317" s="2"/>
      <c r="L317" s="2"/>
      <c r="M317" s="2"/>
      <c r="N317" s="2"/>
      <c r="AN317" s="2"/>
    </row>
    <row r="318" spans="10:40" ht="12.6">
      <c r="J318" s="2"/>
      <c r="K318" s="2"/>
      <c r="L318" s="2"/>
      <c r="M318" s="2"/>
      <c r="N318" s="2"/>
      <c r="AN318" s="2"/>
    </row>
    <row r="319" spans="10:40" ht="12.6">
      <c r="J319" s="2"/>
      <c r="K319" s="2"/>
      <c r="L319" s="2"/>
      <c r="M319" s="2"/>
      <c r="N319" s="2"/>
      <c r="AN319" s="2"/>
    </row>
    <row r="320" spans="10:40" ht="12.6">
      <c r="J320" s="2"/>
      <c r="K320" s="2"/>
      <c r="L320" s="2"/>
      <c r="M320" s="2"/>
      <c r="N320" s="2"/>
      <c r="AN320" s="2"/>
    </row>
    <row r="321" spans="10:40" ht="12.6">
      <c r="J321" s="2"/>
      <c r="K321" s="2"/>
      <c r="L321" s="2"/>
      <c r="M321" s="2"/>
      <c r="N321" s="2"/>
      <c r="AN321" s="2"/>
    </row>
    <row r="322" spans="10:40" ht="12.6">
      <c r="J322" s="2"/>
      <c r="K322" s="2"/>
      <c r="L322" s="2"/>
      <c r="M322" s="2"/>
      <c r="N322" s="2"/>
      <c r="AN322" s="2"/>
    </row>
    <row r="323" spans="10:40" ht="12.6">
      <c r="J323" s="2"/>
      <c r="K323" s="2"/>
      <c r="L323" s="2"/>
      <c r="M323" s="2"/>
      <c r="N323" s="2"/>
      <c r="AN323" s="2"/>
    </row>
    <row r="324" spans="10:40" ht="12.6">
      <c r="J324" s="2"/>
      <c r="K324" s="2"/>
      <c r="L324" s="2"/>
      <c r="M324" s="2"/>
      <c r="N324" s="2"/>
      <c r="AN324" s="2"/>
    </row>
    <row r="325" spans="10:40" ht="12.6">
      <c r="J325" s="2"/>
      <c r="K325" s="2"/>
      <c r="L325" s="2"/>
      <c r="M325" s="2"/>
      <c r="N325" s="2"/>
      <c r="AN325" s="2"/>
    </row>
    <row r="326" spans="10:40" ht="12.6">
      <c r="J326" s="2"/>
      <c r="K326" s="2"/>
      <c r="L326" s="2"/>
      <c r="M326" s="2"/>
      <c r="N326" s="2"/>
      <c r="AN326" s="2"/>
    </row>
    <row r="327" spans="10:40" ht="12.6">
      <c r="J327" s="2"/>
      <c r="K327" s="2"/>
      <c r="L327" s="2"/>
      <c r="M327" s="2"/>
      <c r="N327" s="2"/>
      <c r="AN327" s="2"/>
    </row>
    <row r="328" spans="10:40" ht="12.6">
      <c r="J328" s="2"/>
      <c r="K328" s="2"/>
      <c r="L328" s="2"/>
      <c r="M328" s="2"/>
      <c r="N328" s="2"/>
      <c r="AN328" s="2"/>
    </row>
    <row r="329" spans="10:40" ht="12.6">
      <c r="J329" s="2"/>
      <c r="K329" s="2"/>
      <c r="L329" s="2"/>
      <c r="M329" s="2"/>
      <c r="N329" s="2"/>
      <c r="AN329" s="2"/>
    </row>
    <row r="330" spans="10:40" ht="12.6">
      <c r="J330" s="2"/>
      <c r="K330" s="2"/>
      <c r="L330" s="2"/>
      <c r="M330" s="2"/>
      <c r="N330" s="2"/>
      <c r="AN330" s="2"/>
    </row>
    <row r="331" spans="10:40" ht="12.6">
      <c r="J331" s="2"/>
      <c r="K331" s="2"/>
      <c r="L331" s="2"/>
      <c r="M331" s="2"/>
      <c r="N331" s="2"/>
      <c r="AN331" s="2"/>
    </row>
    <row r="332" spans="10:40" ht="12.6">
      <c r="J332" s="2"/>
      <c r="K332" s="2"/>
      <c r="L332" s="2"/>
      <c r="M332" s="2"/>
      <c r="N332" s="2"/>
      <c r="AN332" s="2"/>
    </row>
    <row r="333" spans="10:40" ht="12.6">
      <c r="J333" s="2"/>
      <c r="K333" s="2"/>
      <c r="L333" s="2"/>
      <c r="M333" s="2"/>
      <c r="N333" s="2"/>
      <c r="AN333" s="2"/>
    </row>
    <row r="334" spans="10:40" ht="12.6">
      <c r="J334" s="2"/>
      <c r="K334" s="2"/>
      <c r="L334" s="2"/>
      <c r="M334" s="2"/>
      <c r="N334" s="2"/>
      <c r="AN334" s="2"/>
    </row>
    <row r="335" spans="10:40" ht="12.6">
      <c r="J335" s="2"/>
      <c r="K335" s="2"/>
      <c r="L335" s="2"/>
      <c r="M335" s="2"/>
      <c r="N335" s="2"/>
      <c r="AN335" s="2"/>
    </row>
    <row r="336" spans="10:40" ht="12.6">
      <c r="J336" s="2"/>
      <c r="K336" s="2"/>
      <c r="L336" s="2"/>
      <c r="M336" s="2"/>
      <c r="N336" s="2"/>
      <c r="AN336" s="2"/>
    </row>
    <row r="337" spans="10:40" ht="12.6">
      <c r="J337" s="2"/>
      <c r="K337" s="2"/>
      <c r="L337" s="2"/>
      <c r="M337" s="2"/>
      <c r="N337" s="2"/>
      <c r="AN337" s="2"/>
    </row>
    <row r="338" spans="10:40" ht="12.6">
      <c r="J338" s="2"/>
      <c r="K338" s="2"/>
      <c r="L338" s="2"/>
      <c r="M338" s="2"/>
      <c r="N338" s="2"/>
      <c r="AN338" s="2"/>
    </row>
    <row r="339" spans="10:40" ht="12.6">
      <c r="J339" s="2"/>
      <c r="K339" s="2"/>
      <c r="L339" s="2"/>
      <c r="M339" s="2"/>
      <c r="N339" s="2"/>
      <c r="AN339" s="2"/>
    </row>
    <row r="340" spans="10:40" ht="12.6">
      <c r="J340" s="2"/>
      <c r="K340" s="2"/>
      <c r="L340" s="2"/>
      <c r="M340" s="2"/>
      <c r="N340" s="2"/>
      <c r="AN340" s="2"/>
    </row>
    <row r="341" spans="10:40" ht="12.6">
      <c r="J341" s="2"/>
      <c r="K341" s="2"/>
      <c r="L341" s="2"/>
      <c r="M341" s="2"/>
      <c r="N341" s="2"/>
      <c r="AN341" s="2"/>
    </row>
    <row r="342" spans="10:40" ht="12.6">
      <c r="J342" s="2"/>
      <c r="K342" s="2"/>
      <c r="L342" s="2"/>
      <c r="M342" s="2"/>
      <c r="N342" s="2"/>
      <c r="AN342" s="2"/>
    </row>
    <row r="343" spans="10:40" ht="12.6">
      <c r="J343" s="2"/>
      <c r="K343" s="2"/>
      <c r="L343" s="2"/>
      <c r="M343" s="2"/>
      <c r="N343" s="2"/>
      <c r="AN343" s="2"/>
    </row>
    <row r="344" spans="10:40" ht="12.6">
      <c r="J344" s="2"/>
      <c r="K344" s="2"/>
      <c r="L344" s="2"/>
      <c r="M344" s="2"/>
      <c r="N344" s="2"/>
      <c r="AN344" s="2"/>
    </row>
    <row r="345" spans="10:40" ht="12.6">
      <c r="J345" s="2"/>
      <c r="K345" s="2"/>
      <c r="L345" s="2"/>
      <c r="M345" s="2"/>
      <c r="N345" s="2"/>
      <c r="AN345" s="2"/>
    </row>
    <row r="346" spans="10:40" ht="12.6">
      <c r="J346" s="2"/>
      <c r="K346" s="2"/>
      <c r="L346" s="2"/>
      <c r="M346" s="2"/>
      <c r="N346" s="2"/>
      <c r="AN346" s="2"/>
    </row>
    <row r="347" spans="10:40" ht="12.6">
      <c r="J347" s="2"/>
      <c r="K347" s="2"/>
      <c r="L347" s="2"/>
      <c r="M347" s="2"/>
      <c r="N347" s="2"/>
      <c r="AN347" s="2"/>
    </row>
    <row r="348" spans="10:40" ht="12.6">
      <c r="J348" s="2"/>
      <c r="K348" s="2"/>
      <c r="L348" s="2"/>
      <c r="M348" s="2"/>
      <c r="N348" s="2"/>
      <c r="AN348" s="2"/>
    </row>
    <row r="349" spans="10:40" ht="12.6">
      <c r="J349" s="2"/>
      <c r="K349" s="2"/>
      <c r="L349" s="2"/>
      <c r="M349" s="2"/>
      <c r="N349" s="2"/>
      <c r="AN349" s="2"/>
    </row>
    <row r="350" spans="10:40" ht="12.6">
      <c r="J350" s="2"/>
      <c r="K350" s="2"/>
      <c r="L350" s="2"/>
      <c r="M350" s="2"/>
      <c r="N350" s="2"/>
      <c r="AN350" s="2"/>
    </row>
    <row r="351" spans="10:40" ht="12.6">
      <c r="J351" s="2"/>
      <c r="K351" s="2"/>
      <c r="L351" s="2"/>
      <c r="M351" s="2"/>
      <c r="N351" s="2"/>
      <c r="AN351" s="2"/>
    </row>
    <row r="352" spans="10:40" ht="12.6">
      <c r="J352" s="2"/>
      <c r="K352" s="2"/>
      <c r="L352" s="2"/>
      <c r="M352" s="2"/>
      <c r="N352" s="2"/>
      <c r="AN352" s="2"/>
    </row>
    <row r="353" spans="10:40" ht="12.6">
      <c r="J353" s="2"/>
      <c r="K353" s="2"/>
      <c r="L353" s="2"/>
      <c r="M353" s="2"/>
      <c r="N353" s="2"/>
      <c r="AN353" s="2"/>
    </row>
    <row r="354" spans="10:40" ht="12.6">
      <c r="J354" s="2"/>
      <c r="K354" s="2"/>
      <c r="L354" s="2"/>
      <c r="M354" s="2"/>
      <c r="N354" s="2"/>
      <c r="AN354" s="2"/>
    </row>
    <row r="355" spans="10:40" ht="12.6">
      <c r="J355" s="2"/>
      <c r="K355" s="2"/>
      <c r="L355" s="2"/>
      <c r="M355" s="2"/>
      <c r="N355" s="2"/>
      <c r="AN355" s="2"/>
    </row>
    <row r="356" spans="10:40" ht="12.6">
      <c r="J356" s="2"/>
      <c r="K356" s="2"/>
      <c r="L356" s="2"/>
      <c r="M356" s="2"/>
      <c r="N356" s="2"/>
      <c r="AN356" s="2"/>
    </row>
    <row r="357" spans="10:40" ht="12.6">
      <c r="J357" s="2"/>
      <c r="K357" s="2"/>
      <c r="L357" s="2"/>
      <c r="M357" s="2"/>
      <c r="N357" s="2"/>
      <c r="AN357" s="2"/>
    </row>
    <row r="358" spans="10:40" ht="12.6">
      <c r="J358" s="2"/>
      <c r="K358" s="2"/>
      <c r="L358" s="2"/>
      <c r="M358" s="2"/>
      <c r="N358" s="2"/>
      <c r="AN358" s="2"/>
    </row>
    <row r="359" spans="10:40" ht="12.6">
      <c r="J359" s="2"/>
      <c r="K359" s="2"/>
      <c r="L359" s="2"/>
      <c r="M359" s="2"/>
      <c r="N359" s="2"/>
      <c r="AN359" s="2"/>
    </row>
    <row r="360" spans="10:40" ht="12.6">
      <c r="J360" s="2"/>
      <c r="K360" s="2"/>
      <c r="L360" s="2"/>
      <c r="M360" s="2"/>
      <c r="N360" s="2"/>
      <c r="AN360" s="2"/>
    </row>
    <row r="361" spans="10:40" ht="12.6">
      <c r="J361" s="2"/>
      <c r="K361" s="2"/>
      <c r="L361" s="2"/>
      <c r="M361" s="2"/>
      <c r="N361" s="2"/>
      <c r="AN361" s="2"/>
    </row>
    <row r="362" spans="10:40" ht="12.6">
      <c r="J362" s="2"/>
      <c r="K362" s="2"/>
      <c r="L362" s="2"/>
      <c r="M362" s="2"/>
      <c r="N362" s="2"/>
      <c r="AN362" s="2"/>
    </row>
    <row r="363" spans="10:40" ht="12.6">
      <c r="J363" s="2"/>
      <c r="K363" s="2"/>
      <c r="L363" s="2"/>
      <c r="M363" s="2"/>
      <c r="N363" s="2"/>
      <c r="AN363" s="2"/>
    </row>
    <row r="364" spans="10:40" ht="12.6">
      <c r="J364" s="2"/>
      <c r="K364" s="2"/>
      <c r="L364" s="2"/>
      <c r="M364" s="2"/>
      <c r="N364" s="2"/>
      <c r="AN364" s="2"/>
    </row>
    <row r="365" spans="10:40" ht="12.6">
      <c r="J365" s="2"/>
      <c r="K365" s="2"/>
      <c r="L365" s="2"/>
      <c r="M365" s="2"/>
      <c r="N365" s="2"/>
      <c r="AN365" s="2"/>
    </row>
    <row r="366" spans="10:40" ht="12.6">
      <c r="J366" s="2"/>
      <c r="K366" s="2"/>
      <c r="L366" s="2"/>
      <c r="M366" s="2"/>
      <c r="N366" s="2"/>
      <c r="AN366" s="2"/>
    </row>
    <row r="367" spans="10:40" ht="12.6">
      <c r="J367" s="2"/>
      <c r="K367" s="2"/>
      <c r="L367" s="2"/>
      <c r="M367" s="2"/>
      <c r="N367" s="2"/>
      <c r="AN367" s="2"/>
    </row>
    <row r="368" spans="10:40" ht="12.6">
      <c r="J368" s="2"/>
      <c r="K368" s="2"/>
      <c r="L368" s="2"/>
      <c r="M368" s="2"/>
      <c r="N368" s="2"/>
      <c r="AN368" s="2"/>
    </row>
    <row r="369" spans="10:40" ht="12.6">
      <c r="J369" s="2"/>
      <c r="K369" s="2"/>
      <c r="L369" s="2"/>
      <c r="M369" s="2"/>
      <c r="N369" s="2"/>
      <c r="AN369" s="2"/>
    </row>
    <row r="370" spans="10:40" ht="12.6">
      <c r="J370" s="2"/>
      <c r="K370" s="2"/>
      <c r="L370" s="2"/>
      <c r="M370" s="2"/>
      <c r="N370" s="2"/>
      <c r="AN370" s="2"/>
    </row>
    <row r="371" spans="10:40" ht="12.6">
      <c r="J371" s="2"/>
      <c r="K371" s="2"/>
      <c r="L371" s="2"/>
      <c r="M371" s="2"/>
      <c r="N371" s="2"/>
      <c r="AN371" s="2"/>
    </row>
    <row r="372" spans="10:40" ht="12.6">
      <c r="J372" s="2"/>
      <c r="K372" s="2"/>
      <c r="L372" s="2"/>
      <c r="M372" s="2"/>
      <c r="N372" s="2"/>
      <c r="AN372" s="2"/>
    </row>
    <row r="373" spans="10:40" ht="12.6">
      <c r="J373" s="2"/>
      <c r="K373" s="2"/>
      <c r="L373" s="2"/>
      <c r="M373" s="2"/>
      <c r="N373" s="2"/>
      <c r="AN373" s="2"/>
    </row>
    <row r="374" spans="10:40" ht="12.6">
      <c r="J374" s="2"/>
      <c r="K374" s="2"/>
      <c r="L374" s="2"/>
      <c r="M374" s="2"/>
      <c r="N374" s="2"/>
      <c r="AN374" s="2"/>
    </row>
    <row r="375" spans="10:40" ht="12.6">
      <c r="J375" s="2"/>
      <c r="K375" s="2"/>
      <c r="L375" s="2"/>
      <c r="M375" s="2"/>
      <c r="N375" s="2"/>
      <c r="AN375" s="2"/>
    </row>
    <row r="376" spans="10:40" ht="12.6">
      <c r="J376" s="2"/>
      <c r="K376" s="2"/>
      <c r="L376" s="2"/>
      <c r="M376" s="2"/>
      <c r="N376" s="2"/>
      <c r="AN376" s="2"/>
    </row>
    <row r="377" spans="10:40" ht="12.6">
      <c r="J377" s="2"/>
      <c r="K377" s="2"/>
      <c r="L377" s="2"/>
      <c r="M377" s="2"/>
      <c r="N377" s="2"/>
      <c r="AN377" s="2"/>
    </row>
    <row r="378" spans="10:40" ht="12.6">
      <c r="J378" s="2"/>
      <c r="K378" s="2"/>
      <c r="L378" s="2"/>
      <c r="M378" s="2"/>
      <c r="N378" s="2"/>
      <c r="AN378" s="2"/>
    </row>
    <row r="379" spans="10:40" ht="12.6">
      <c r="J379" s="2"/>
      <c r="K379" s="2"/>
      <c r="L379" s="2"/>
      <c r="M379" s="2"/>
      <c r="N379" s="2"/>
      <c r="AN379" s="2"/>
    </row>
    <row r="380" spans="10:40" ht="12.6">
      <c r="J380" s="2"/>
      <c r="K380" s="2"/>
      <c r="L380" s="2"/>
      <c r="M380" s="2"/>
      <c r="N380" s="2"/>
      <c r="AN380" s="2"/>
    </row>
    <row r="381" spans="10:40" ht="12.6">
      <c r="J381" s="2"/>
      <c r="K381" s="2"/>
      <c r="L381" s="2"/>
      <c r="M381" s="2"/>
      <c r="N381" s="2"/>
      <c r="AN381" s="2"/>
    </row>
    <row r="382" spans="10:40" ht="12.6">
      <c r="J382" s="2"/>
      <c r="K382" s="2"/>
      <c r="L382" s="2"/>
      <c r="M382" s="2"/>
      <c r="N382" s="2"/>
      <c r="AN382" s="2"/>
    </row>
    <row r="383" spans="10:40" ht="12.6">
      <c r="J383" s="2"/>
      <c r="K383" s="2"/>
      <c r="L383" s="2"/>
      <c r="M383" s="2"/>
      <c r="N383" s="2"/>
      <c r="AN383" s="2"/>
    </row>
    <row r="384" spans="10:40" ht="12.6">
      <c r="J384" s="2"/>
      <c r="K384" s="2"/>
      <c r="L384" s="2"/>
      <c r="M384" s="2"/>
      <c r="N384" s="2"/>
      <c r="AN384" s="2"/>
    </row>
    <row r="385" spans="10:40" ht="12.6">
      <c r="J385" s="2"/>
      <c r="K385" s="2"/>
      <c r="L385" s="2"/>
      <c r="M385" s="2"/>
      <c r="N385" s="2"/>
      <c r="AN385" s="2"/>
    </row>
    <row r="386" spans="10:40" ht="12.6">
      <c r="J386" s="2"/>
      <c r="K386" s="2"/>
      <c r="L386" s="2"/>
      <c r="M386" s="2"/>
      <c r="N386" s="2"/>
      <c r="AN386" s="2"/>
    </row>
    <row r="387" spans="10:40" ht="12.6">
      <c r="J387" s="2"/>
      <c r="K387" s="2"/>
      <c r="L387" s="2"/>
      <c r="M387" s="2"/>
      <c r="N387" s="2"/>
      <c r="AN387" s="2"/>
    </row>
    <row r="388" spans="10:40" ht="12.6">
      <c r="J388" s="2"/>
      <c r="K388" s="2"/>
      <c r="L388" s="2"/>
      <c r="M388" s="2"/>
      <c r="N388" s="2"/>
      <c r="AN388" s="2"/>
    </row>
    <row r="389" spans="10:40" ht="12.6">
      <c r="J389" s="2"/>
      <c r="K389" s="2"/>
      <c r="L389" s="2"/>
      <c r="M389" s="2"/>
      <c r="N389" s="2"/>
      <c r="AN389" s="2"/>
    </row>
    <row r="390" spans="10:40" ht="12.6">
      <c r="J390" s="2"/>
      <c r="K390" s="2"/>
      <c r="L390" s="2"/>
      <c r="M390" s="2"/>
      <c r="N390" s="2"/>
      <c r="AN390" s="2"/>
    </row>
    <row r="391" spans="10:40" ht="12.6">
      <c r="J391" s="2"/>
      <c r="K391" s="2"/>
      <c r="L391" s="2"/>
      <c r="M391" s="2"/>
      <c r="N391" s="2"/>
      <c r="AN391" s="2"/>
    </row>
    <row r="392" spans="10:40" ht="12.6">
      <c r="J392" s="2"/>
      <c r="K392" s="2"/>
      <c r="L392" s="2"/>
      <c r="M392" s="2"/>
      <c r="N392" s="2"/>
      <c r="AN392" s="2"/>
    </row>
    <row r="393" spans="10:40" ht="12.6">
      <c r="J393" s="2"/>
      <c r="K393" s="2"/>
      <c r="L393" s="2"/>
      <c r="M393" s="2"/>
      <c r="N393" s="2"/>
      <c r="AN393" s="2"/>
    </row>
    <row r="394" spans="10:40" ht="12.6">
      <c r="J394" s="2"/>
      <c r="K394" s="2"/>
      <c r="L394" s="2"/>
      <c r="M394" s="2"/>
      <c r="N394" s="2"/>
      <c r="AN394" s="2"/>
    </row>
    <row r="395" spans="10:40" ht="12.6">
      <c r="J395" s="2"/>
      <c r="K395" s="2"/>
      <c r="L395" s="2"/>
      <c r="M395" s="2"/>
      <c r="N395" s="2"/>
      <c r="AN395" s="2"/>
    </row>
    <row r="396" spans="10:40" ht="12.6">
      <c r="J396" s="2"/>
      <c r="K396" s="2"/>
      <c r="L396" s="2"/>
      <c r="M396" s="2"/>
      <c r="N396" s="2"/>
      <c r="AN396" s="2"/>
    </row>
    <row r="397" spans="10:40" ht="12.6">
      <c r="J397" s="2"/>
      <c r="K397" s="2"/>
      <c r="L397" s="2"/>
      <c r="M397" s="2"/>
      <c r="N397" s="2"/>
      <c r="AN397" s="2"/>
    </row>
    <row r="398" spans="10:40" ht="12.6">
      <c r="J398" s="2"/>
      <c r="K398" s="2"/>
      <c r="L398" s="2"/>
      <c r="M398" s="2"/>
      <c r="N398" s="2"/>
      <c r="AN398" s="2"/>
    </row>
    <row r="399" spans="10:40" ht="12.6">
      <c r="J399" s="2"/>
      <c r="K399" s="2"/>
      <c r="L399" s="2"/>
      <c r="M399" s="2"/>
      <c r="N399" s="2"/>
      <c r="AN399" s="2"/>
    </row>
    <row r="400" spans="10:40" ht="12.6">
      <c r="J400" s="2"/>
      <c r="K400" s="2"/>
      <c r="L400" s="2"/>
      <c r="M400" s="2"/>
      <c r="N400" s="2"/>
      <c r="AN400" s="2"/>
    </row>
    <row r="401" spans="10:40" ht="12.6">
      <c r="J401" s="2"/>
      <c r="K401" s="2"/>
      <c r="L401" s="2"/>
      <c r="M401" s="2"/>
      <c r="N401" s="2"/>
      <c r="AN401" s="2"/>
    </row>
    <row r="402" spans="10:40" ht="12.6">
      <c r="J402" s="2"/>
      <c r="K402" s="2"/>
      <c r="L402" s="2"/>
      <c r="M402" s="2"/>
      <c r="N402" s="2"/>
      <c r="AN402" s="2"/>
    </row>
    <row r="403" spans="10:40" ht="12.6">
      <c r="J403" s="2"/>
      <c r="K403" s="2"/>
      <c r="L403" s="2"/>
      <c r="M403" s="2"/>
      <c r="N403" s="2"/>
      <c r="AN403" s="2"/>
    </row>
    <row r="404" spans="10:40" ht="12.6">
      <c r="J404" s="2"/>
      <c r="K404" s="2"/>
      <c r="L404" s="2"/>
      <c r="M404" s="2"/>
      <c r="N404" s="2"/>
      <c r="AN404" s="2"/>
    </row>
    <row r="405" spans="10:40" ht="12.6">
      <c r="J405" s="2"/>
      <c r="K405" s="2"/>
      <c r="L405" s="2"/>
      <c r="M405" s="2"/>
      <c r="N405" s="2"/>
      <c r="AN405" s="2"/>
    </row>
    <row r="406" spans="10:40" ht="12.6">
      <c r="J406" s="2"/>
      <c r="K406" s="2"/>
      <c r="L406" s="2"/>
      <c r="M406" s="2"/>
      <c r="N406" s="2"/>
      <c r="AN406" s="2"/>
    </row>
    <row r="407" spans="10:40" ht="12.6">
      <c r="J407" s="2"/>
      <c r="K407" s="2"/>
      <c r="L407" s="2"/>
      <c r="M407" s="2"/>
      <c r="N407" s="2"/>
      <c r="AN407" s="2"/>
    </row>
    <row r="408" spans="10:40" ht="12.6">
      <c r="J408" s="2"/>
      <c r="K408" s="2"/>
      <c r="L408" s="2"/>
      <c r="M408" s="2"/>
      <c r="N408" s="2"/>
      <c r="AN408" s="2"/>
    </row>
    <row r="409" spans="10:40" ht="12.6">
      <c r="J409" s="2"/>
      <c r="K409" s="2"/>
      <c r="L409" s="2"/>
      <c r="M409" s="2"/>
      <c r="N409" s="2"/>
      <c r="AN409" s="2"/>
    </row>
    <row r="410" spans="10:40" ht="12.6">
      <c r="J410" s="2"/>
      <c r="K410" s="2"/>
      <c r="L410" s="2"/>
      <c r="M410" s="2"/>
      <c r="N410" s="2"/>
      <c r="AN410" s="2"/>
    </row>
    <row r="411" spans="10:40" ht="12.6">
      <c r="J411" s="2"/>
      <c r="K411" s="2"/>
      <c r="L411" s="2"/>
      <c r="M411" s="2"/>
      <c r="N411" s="2"/>
      <c r="AN411" s="2"/>
    </row>
    <row r="412" spans="10:40" ht="12.6">
      <c r="J412" s="2"/>
      <c r="K412" s="2"/>
      <c r="L412" s="2"/>
      <c r="M412" s="2"/>
      <c r="N412" s="2"/>
      <c r="AN412" s="2"/>
    </row>
    <row r="413" spans="10:40" ht="12.6">
      <c r="J413" s="2"/>
      <c r="K413" s="2"/>
      <c r="L413" s="2"/>
      <c r="M413" s="2"/>
      <c r="N413" s="2"/>
      <c r="AN413" s="2"/>
    </row>
    <row r="414" spans="10:40" ht="12.6">
      <c r="J414" s="2"/>
      <c r="K414" s="2"/>
      <c r="L414" s="2"/>
      <c r="M414" s="2"/>
      <c r="N414" s="2"/>
      <c r="AN414" s="2"/>
    </row>
    <row r="415" spans="10:40" ht="12.6">
      <c r="J415" s="2"/>
      <c r="K415" s="2"/>
      <c r="L415" s="2"/>
      <c r="M415" s="2"/>
      <c r="N415" s="2"/>
      <c r="AN415" s="2"/>
    </row>
    <row r="416" spans="10:40" ht="12.6">
      <c r="J416" s="2"/>
      <c r="K416" s="2"/>
      <c r="L416" s="2"/>
      <c r="M416" s="2"/>
      <c r="N416" s="2"/>
      <c r="AN416" s="2"/>
    </row>
    <row r="417" spans="10:40" ht="12.6">
      <c r="J417" s="2"/>
      <c r="K417" s="2"/>
      <c r="L417" s="2"/>
      <c r="M417" s="2"/>
      <c r="N417" s="2"/>
      <c r="AN417" s="2"/>
    </row>
    <row r="418" spans="10:40" ht="12.6">
      <c r="J418" s="2"/>
      <c r="K418" s="2"/>
      <c r="L418" s="2"/>
      <c r="M418" s="2"/>
      <c r="N418" s="2"/>
      <c r="AN418" s="2"/>
    </row>
    <row r="419" spans="10:40" ht="12.6">
      <c r="J419" s="2"/>
      <c r="K419" s="2"/>
      <c r="L419" s="2"/>
      <c r="M419" s="2"/>
      <c r="N419" s="2"/>
      <c r="AN419" s="2"/>
    </row>
    <row r="420" spans="10:40" ht="12.6">
      <c r="J420" s="2"/>
      <c r="K420" s="2"/>
      <c r="L420" s="2"/>
      <c r="M420" s="2"/>
      <c r="N420" s="2"/>
      <c r="AN420" s="2"/>
    </row>
    <row r="421" spans="10:40" ht="12.6">
      <c r="J421" s="2"/>
      <c r="K421" s="2"/>
      <c r="L421" s="2"/>
      <c r="M421" s="2"/>
      <c r="N421" s="2"/>
      <c r="AN421" s="2"/>
    </row>
    <row r="422" spans="10:40" ht="12.6">
      <c r="J422" s="2"/>
      <c r="K422" s="2"/>
      <c r="L422" s="2"/>
      <c r="M422" s="2"/>
      <c r="N422" s="2"/>
      <c r="AN422" s="2"/>
    </row>
    <row r="423" spans="10:40" ht="12.6">
      <c r="J423" s="2"/>
      <c r="K423" s="2"/>
      <c r="L423" s="2"/>
      <c r="M423" s="2"/>
      <c r="N423" s="2"/>
      <c r="AN423" s="2"/>
    </row>
    <row r="424" spans="10:40" ht="12.6">
      <c r="J424" s="2"/>
      <c r="K424" s="2"/>
      <c r="L424" s="2"/>
      <c r="M424" s="2"/>
      <c r="N424" s="2"/>
      <c r="AN424" s="2"/>
    </row>
    <row r="425" spans="10:40" ht="12.6">
      <c r="J425" s="2"/>
      <c r="K425" s="2"/>
      <c r="L425" s="2"/>
      <c r="M425" s="2"/>
      <c r="N425" s="2"/>
      <c r="AN425" s="2"/>
    </row>
    <row r="426" spans="10:40" ht="12.6">
      <c r="J426" s="2"/>
      <c r="K426" s="2"/>
      <c r="L426" s="2"/>
      <c r="M426" s="2"/>
      <c r="N426" s="2"/>
      <c r="AN426" s="2"/>
    </row>
    <row r="427" spans="10:40" ht="12.6">
      <c r="J427" s="2"/>
      <c r="K427" s="2"/>
      <c r="L427" s="2"/>
      <c r="M427" s="2"/>
      <c r="N427" s="2"/>
      <c r="AN427" s="2"/>
    </row>
    <row r="428" spans="10:40" ht="12.6">
      <c r="J428" s="2"/>
      <c r="K428" s="2"/>
      <c r="L428" s="2"/>
      <c r="M428" s="2"/>
      <c r="N428" s="2"/>
      <c r="AN428" s="2"/>
    </row>
    <row r="429" spans="10:40" ht="12.6">
      <c r="J429" s="2"/>
      <c r="K429" s="2"/>
      <c r="L429" s="2"/>
      <c r="M429" s="2"/>
      <c r="N429" s="2"/>
      <c r="AN429" s="2"/>
    </row>
    <row r="430" spans="10:40" ht="12.6">
      <c r="J430" s="2"/>
      <c r="K430" s="2"/>
      <c r="L430" s="2"/>
      <c r="M430" s="2"/>
      <c r="N430" s="2"/>
      <c r="AN430" s="2"/>
    </row>
    <row r="431" spans="10:40" ht="12.6">
      <c r="J431" s="2"/>
      <c r="K431" s="2"/>
      <c r="L431" s="2"/>
      <c r="M431" s="2"/>
      <c r="N431" s="2"/>
      <c r="AN431" s="2"/>
    </row>
    <row r="432" spans="10:40" ht="12.6">
      <c r="J432" s="2"/>
      <c r="K432" s="2"/>
      <c r="L432" s="2"/>
      <c r="M432" s="2"/>
      <c r="N432" s="2"/>
      <c r="AN432" s="2"/>
    </row>
    <row r="433" spans="10:40" ht="12.6">
      <c r="J433" s="2"/>
      <c r="K433" s="2"/>
      <c r="L433" s="2"/>
      <c r="M433" s="2"/>
      <c r="N433" s="2"/>
      <c r="AN433" s="2"/>
    </row>
    <row r="434" spans="10:40" ht="12.6">
      <c r="J434" s="2"/>
      <c r="K434" s="2"/>
      <c r="L434" s="2"/>
      <c r="M434" s="2"/>
      <c r="N434" s="2"/>
      <c r="AN434" s="2"/>
    </row>
    <row r="435" spans="10:40" ht="12.6">
      <c r="J435" s="2"/>
      <c r="K435" s="2"/>
      <c r="L435" s="2"/>
      <c r="M435" s="2"/>
      <c r="N435" s="2"/>
      <c r="AN435" s="2"/>
    </row>
    <row r="436" spans="10:40" ht="12.6">
      <c r="J436" s="2"/>
      <c r="K436" s="2"/>
      <c r="L436" s="2"/>
      <c r="M436" s="2"/>
      <c r="N436" s="2"/>
      <c r="AN436" s="2"/>
    </row>
    <row r="437" spans="10:40" ht="12.6">
      <c r="J437" s="2"/>
      <c r="K437" s="2"/>
      <c r="L437" s="2"/>
      <c r="M437" s="2"/>
      <c r="N437" s="2"/>
      <c r="AN437" s="2"/>
    </row>
    <row r="438" spans="10:40" ht="12.6">
      <c r="J438" s="2"/>
      <c r="K438" s="2"/>
      <c r="L438" s="2"/>
      <c r="M438" s="2"/>
      <c r="N438" s="2"/>
      <c r="AN438" s="2"/>
    </row>
    <row r="439" spans="10:40" ht="12.6">
      <c r="J439" s="2"/>
      <c r="K439" s="2"/>
      <c r="L439" s="2"/>
      <c r="M439" s="2"/>
      <c r="N439" s="2"/>
      <c r="AN439" s="2"/>
    </row>
    <row r="440" spans="10:40" ht="12.6">
      <c r="J440" s="2"/>
      <c r="K440" s="2"/>
      <c r="L440" s="2"/>
      <c r="M440" s="2"/>
      <c r="N440" s="2"/>
      <c r="AN440" s="2"/>
    </row>
    <row r="441" spans="10:40" ht="12.6">
      <c r="J441" s="2"/>
      <c r="K441" s="2"/>
      <c r="L441" s="2"/>
      <c r="M441" s="2"/>
      <c r="N441" s="2"/>
      <c r="AN441" s="2"/>
    </row>
    <row r="442" spans="10:40" ht="12.6">
      <c r="J442" s="2"/>
      <c r="K442" s="2"/>
      <c r="L442" s="2"/>
      <c r="M442" s="2"/>
      <c r="N442" s="2"/>
      <c r="AN442" s="2"/>
    </row>
    <row r="443" spans="10:40" ht="12.6">
      <c r="J443" s="2"/>
      <c r="K443" s="2"/>
      <c r="L443" s="2"/>
      <c r="M443" s="2"/>
      <c r="N443" s="2"/>
      <c r="AN443" s="2"/>
    </row>
    <row r="444" spans="10:40" ht="12.6">
      <c r="J444" s="2"/>
      <c r="K444" s="2"/>
      <c r="L444" s="2"/>
      <c r="M444" s="2"/>
      <c r="N444" s="2"/>
      <c r="AN444" s="2"/>
    </row>
    <row r="445" spans="10:40" ht="12.6">
      <c r="J445" s="2"/>
      <c r="K445" s="2"/>
      <c r="L445" s="2"/>
      <c r="M445" s="2"/>
      <c r="N445" s="2"/>
      <c r="AN445" s="2"/>
    </row>
    <row r="446" spans="10:40" ht="12.6">
      <c r="J446" s="2"/>
      <c r="K446" s="2"/>
      <c r="L446" s="2"/>
      <c r="M446" s="2"/>
      <c r="N446" s="2"/>
      <c r="AN446" s="2"/>
    </row>
    <row r="447" spans="10:40" ht="12.6">
      <c r="J447" s="2"/>
      <c r="K447" s="2"/>
      <c r="L447" s="2"/>
      <c r="M447" s="2"/>
      <c r="N447" s="2"/>
      <c r="AN447" s="2"/>
    </row>
    <row r="448" spans="10:40" ht="12.6">
      <c r="J448" s="2"/>
      <c r="K448" s="2"/>
      <c r="L448" s="2"/>
      <c r="M448" s="2"/>
      <c r="N448" s="2"/>
      <c r="AN448" s="2"/>
    </row>
    <row r="449" spans="10:40" ht="12.6">
      <c r="J449" s="2"/>
      <c r="K449" s="2"/>
      <c r="L449" s="2"/>
      <c r="M449" s="2"/>
      <c r="N449" s="2"/>
      <c r="AN449" s="2"/>
    </row>
    <row r="450" spans="10:40" ht="12.6">
      <c r="J450" s="2"/>
      <c r="K450" s="2"/>
      <c r="L450" s="2"/>
      <c r="M450" s="2"/>
      <c r="N450" s="2"/>
      <c r="AN450" s="2"/>
    </row>
    <row r="451" spans="10:40" ht="12.6">
      <c r="J451" s="2"/>
      <c r="K451" s="2"/>
      <c r="L451" s="2"/>
      <c r="M451" s="2"/>
      <c r="N451" s="2"/>
      <c r="AN451" s="2"/>
    </row>
    <row r="452" spans="10:40" ht="12.6">
      <c r="J452" s="2"/>
      <c r="K452" s="2"/>
      <c r="L452" s="2"/>
      <c r="M452" s="2"/>
      <c r="N452" s="2"/>
      <c r="AN452" s="2"/>
    </row>
    <row r="453" spans="10:40" ht="12.6">
      <c r="J453" s="2"/>
      <c r="K453" s="2"/>
      <c r="L453" s="2"/>
      <c r="M453" s="2"/>
      <c r="N453" s="2"/>
      <c r="AN453" s="2"/>
    </row>
    <row r="454" spans="10:40" ht="12.6">
      <c r="J454" s="2"/>
      <c r="K454" s="2"/>
      <c r="L454" s="2"/>
      <c r="M454" s="2"/>
      <c r="N454" s="2"/>
      <c r="AN454" s="2"/>
    </row>
    <row r="455" spans="10:40" ht="12.6">
      <c r="J455" s="2"/>
      <c r="K455" s="2"/>
      <c r="L455" s="2"/>
      <c r="M455" s="2"/>
      <c r="N455" s="2"/>
      <c r="AN455" s="2"/>
    </row>
    <row r="456" spans="10:40" ht="12.6">
      <c r="J456" s="2"/>
      <c r="K456" s="2"/>
      <c r="L456" s="2"/>
      <c r="M456" s="2"/>
      <c r="N456" s="2"/>
      <c r="AN456" s="2"/>
    </row>
    <row r="457" spans="10:40" ht="12.6">
      <c r="J457" s="2"/>
      <c r="K457" s="2"/>
      <c r="L457" s="2"/>
      <c r="M457" s="2"/>
      <c r="N457" s="2"/>
      <c r="AN457" s="2"/>
    </row>
    <row r="458" spans="10:40" ht="12.6">
      <c r="J458" s="2"/>
      <c r="K458" s="2"/>
      <c r="L458" s="2"/>
      <c r="M458" s="2"/>
      <c r="N458" s="2"/>
      <c r="AN458" s="2"/>
    </row>
    <row r="459" spans="10:40" ht="12.6">
      <c r="J459" s="2"/>
      <c r="K459" s="2"/>
      <c r="L459" s="2"/>
      <c r="M459" s="2"/>
      <c r="N459" s="2"/>
      <c r="AN459" s="2"/>
    </row>
    <row r="460" spans="10:40" ht="12.6">
      <c r="J460" s="2"/>
      <c r="K460" s="2"/>
      <c r="L460" s="2"/>
      <c r="M460" s="2"/>
      <c r="N460" s="2"/>
      <c r="AN460" s="2"/>
    </row>
    <row r="461" spans="10:40" ht="12.6">
      <c r="J461" s="2"/>
      <c r="K461" s="2"/>
      <c r="L461" s="2"/>
      <c r="M461" s="2"/>
      <c r="N461" s="2"/>
      <c r="AN461" s="2"/>
    </row>
    <row r="462" spans="10:40" ht="12.6">
      <c r="J462" s="2"/>
      <c r="K462" s="2"/>
      <c r="L462" s="2"/>
      <c r="M462" s="2"/>
      <c r="N462" s="2"/>
      <c r="AN462" s="2"/>
    </row>
    <row r="463" spans="10:40" ht="12.6">
      <c r="J463" s="2"/>
      <c r="K463" s="2"/>
      <c r="L463" s="2"/>
      <c r="M463" s="2"/>
      <c r="N463" s="2"/>
      <c r="AN463" s="2"/>
    </row>
    <row r="464" spans="10:40" ht="12.6">
      <c r="J464" s="2"/>
      <c r="K464" s="2"/>
      <c r="L464" s="2"/>
      <c r="M464" s="2"/>
      <c r="N464" s="2"/>
      <c r="AN464" s="2"/>
    </row>
    <row r="465" spans="10:40" ht="12.6">
      <c r="J465" s="2"/>
      <c r="K465" s="2"/>
      <c r="L465" s="2"/>
      <c r="M465" s="2"/>
      <c r="N465" s="2"/>
      <c r="AN465" s="2"/>
    </row>
    <row r="466" spans="10:40" ht="12.6">
      <c r="J466" s="2"/>
      <c r="K466" s="2"/>
      <c r="L466" s="2"/>
      <c r="M466" s="2"/>
      <c r="N466" s="2"/>
      <c r="AN466" s="2"/>
    </row>
    <row r="467" spans="10:40" ht="12.6">
      <c r="J467" s="2"/>
      <c r="K467" s="2"/>
      <c r="L467" s="2"/>
      <c r="M467" s="2"/>
      <c r="N467" s="2"/>
      <c r="AN467" s="2"/>
    </row>
    <row r="468" spans="10:40" ht="12.6">
      <c r="J468" s="2"/>
      <c r="K468" s="2"/>
      <c r="L468" s="2"/>
      <c r="M468" s="2"/>
      <c r="N468" s="2"/>
      <c r="AN468" s="2"/>
    </row>
    <row r="469" spans="10:40" ht="12.6">
      <c r="J469" s="2"/>
      <c r="K469" s="2"/>
      <c r="L469" s="2"/>
      <c r="M469" s="2"/>
      <c r="N469" s="2"/>
      <c r="AN469" s="2"/>
    </row>
    <row r="470" spans="10:40" ht="12.6">
      <c r="J470" s="2"/>
      <c r="K470" s="2"/>
      <c r="L470" s="2"/>
      <c r="M470" s="2"/>
      <c r="N470" s="2"/>
      <c r="AN470" s="2"/>
    </row>
    <row r="471" spans="10:40" ht="12.6">
      <c r="J471" s="2"/>
      <c r="K471" s="2"/>
      <c r="L471" s="2"/>
      <c r="M471" s="2"/>
      <c r="N471" s="2"/>
      <c r="AN471" s="2"/>
    </row>
    <row r="472" spans="10:40" ht="12.6">
      <c r="J472" s="2"/>
      <c r="K472" s="2"/>
      <c r="L472" s="2"/>
      <c r="M472" s="2"/>
      <c r="N472" s="2"/>
      <c r="AN472" s="2"/>
    </row>
    <row r="473" spans="10:40" ht="12.6">
      <c r="J473" s="2"/>
      <c r="K473" s="2"/>
      <c r="L473" s="2"/>
      <c r="M473" s="2"/>
      <c r="N473" s="2"/>
      <c r="AN473" s="2"/>
    </row>
    <row r="474" spans="10:40" ht="12.6">
      <c r="J474" s="2"/>
      <c r="K474" s="2"/>
      <c r="L474" s="2"/>
      <c r="M474" s="2"/>
      <c r="N474" s="2"/>
      <c r="AN474" s="2"/>
    </row>
    <row r="475" spans="10:40" ht="12.6">
      <c r="J475" s="2"/>
      <c r="K475" s="2"/>
      <c r="L475" s="2"/>
      <c r="M475" s="2"/>
      <c r="N475" s="2"/>
      <c r="AN475" s="2"/>
    </row>
    <row r="476" spans="10:40" ht="12.6">
      <c r="J476" s="2"/>
      <c r="K476" s="2"/>
      <c r="L476" s="2"/>
      <c r="M476" s="2"/>
      <c r="N476" s="2"/>
      <c r="AN476" s="2"/>
    </row>
    <row r="477" spans="10:40" ht="12.6">
      <c r="J477" s="2"/>
      <c r="K477" s="2"/>
      <c r="L477" s="2"/>
      <c r="M477" s="2"/>
      <c r="N477" s="2"/>
      <c r="AN477" s="2"/>
    </row>
    <row r="478" spans="10:40" ht="12.6">
      <c r="J478" s="2"/>
      <c r="K478" s="2"/>
      <c r="L478" s="2"/>
      <c r="M478" s="2"/>
      <c r="N478" s="2"/>
      <c r="AN478" s="2"/>
    </row>
    <row r="479" spans="10:40" ht="12.6">
      <c r="J479" s="2"/>
      <c r="K479" s="2"/>
      <c r="L479" s="2"/>
      <c r="M479" s="2"/>
      <c r="N479" s="2"/>
      <c r="AN479" s="2"/>
    </row>
    <row r="480" spans="10:40" ht="12.6">
      <c r="J480" s="2"/>
      <c r="K480" s="2"/>
      <c r="L480" s="2"/>
      <c r="M480" s="2"/>
      <c r="N480" s="2"/>
      <c r="AN480" s="2"/>
    </row>
    <row r="481" spans="10:40" ht="12.6">
      <c r="J481" s="2"/>
      <c r="K481" s="2"/>
      <c r="L481" s="2"/>
      <c r="M481" s="2"/>
      <c r="N481" s="2"/>
      <c r="AN481" s="2"/>
    </row>
    <row r="482" spans="10:40" ht="12.6">
      <c r="J482" s="2"/>
      <c r="K482" s="2"/>
      <c r="L482" s="2"/>
      <c r="M482" s="2"/>
      <c r="N482" s="2"/>
      <c r="AN482" s="2"/>
    </row>
    <row r="483" spans="10:40" ht="12.6">
      <c r="J483" s="2"/>
      <c r="K483" s="2"/>
      <c r="L483" s="2"/>
      <c r="M483" s="2"/>
      <c r="N483" s="2"/>
      <c r="AN483" s="2"/>
    </row>
    <row r="484" spans="10:40" ht="12.6">
      <c r="J484" s="2"/>
      <c r="K484" s="2"/>
      <c r="L484" s="2"/>
      <c r="M484" s="2"/>
      <c r="N484" s="2"/>
      <c r="AN484" s="2"/>
    </row>
    <row r="485" spans="10:40" ht="12.6">
      <c r="J485" s="2"/>
      <c r="K485" s="2"/>
      <c r="L485" s="2"/>
      <c r="M485" s="2"/>
      <c r="N485" s="2"/>
      <c r="AN485" s="2"/>
    </row>
    <row r="486" spans="10:40" ht="12.6">
      <c r="J486" s="2"/>
      <c r="K486" s="2"/>
      <c r="L486" s="2"/>
      <c r="M486" s="2"/>
      <c r="N486" s="2"/>
      <c r="AN486" s="2"/>
    </row>
    <row r="487" spans="10:40" ht="12.6">
      <c r="J487" s="2"/>
      <c r="K487" s="2"/>
      <c r="L487" s="2"/>
      <c r="M487" s="2"/>
      <c r="N487" s="2"/>
      <c r="AN487" s="2"/>
    </row>
    <row r="488" spans="10:40" ht="12.6">
      <c r="J488" s="2"/>
      <c r="K488" s="2"/>
      <c r="L488" s="2"/>
      <c r="M488" s="2"/>
      <c r="N488" s="2"/>
      <c r="AN488" s="2"/>
    </row>
    <row r="489" spans="10:40" ht="12.6">
      <c r="J489" s="2"/>
      <c r="K489" s="2"/>
      <c r="L489" s="2"/>
      <c r="M489" s="2"/>
      <c r="N489" s="2"/>
      <c r="AN489" s="2"/>
    </row>
    <row r="490" spans="10:40" ht="12.6">
      <c r="J490" s="2"/>
      <c r="K490" s="2"/>
      <c r="L490" s="2"/>
      <c r="M490" s="2"/>
      <c r="N490" s="2"/>
      <c r="AN490" s="2"/>
    </row>
    <row r="491" spans="10:40" ht="12.6">
      <c r="J491" s="2"/>
      <c r="K491" s="2"/>
      <c r="L491" s="2"/>
      <c r="M491" s="2"/>
      <c r="N491" s="2"/>
      <c r="AN491" s="2"/>
    </row>
    <row r="492" spans="10:40" ht="12.6">
      <c r="J492" s="2"/>
      <c r="K492" s="2"/>
      <c r="L492" s="2"/>
      <c r="M492" s="2"/>
      <c r="N492" s="2"/>
      <c r="AN492" s="2"/>
    </row>
    <row r="493" spans="10:40" ht="12.6">
      <c r="J493" s="2"/>
      <c r="K493" s="2"/>
      <c r="L493" s="2"/>
      <c r="M493" s="2"/>
      <c r="N493" s="2"/>
      <c r="AN493" s="2"/>
    </row>
    <row r="494" spans="10:40" ht="12.6">
      <c r="J494" s="2"/>
      <c r="K494" s="2"/>
      <c r="L494" s="2"/>
      <c r="M494" s="2"/>
      <c r="N494" s="2"/>
      <c r="AN494" s="2"/>
    </row>
    <row r="495" spans="10:40" ht="12.6">
      <c r="J495" s="2"/>
      <c r="K495" s="2"/>
      <c r="L495" s="2"/>
      <c r="M495" s="2"/>
      <c r="N495" s="2"/>
      <c r="AN495" s="2"/>
    </row>
    <row r="496" spans="10:40" ht="12.6">
      <c r="J496" s="2"/>
      <c r="K496" s="2"/>
      <c r="L496" s="2"/>
      <c r="M496" s="2"/>
      <c r="N496" s="2"/>
      <c r="AN496" s="2"/>
    </row>
    <row r="497" spans="10:40" ht="12.6">
      <c r="J497" s="2"/>
      <c r="K497" s="2"/>
      <c r="L497" s="2"/>
      <c r="M497" s="2"/>
      <c r="N497" s="2"/>
      <c r="AN497" s="2"/>
    </row>
    <row r="498" spans="10:40" ht="12.6">
      <c r="J498" s="2"/>
      <c r="K498" s="2"/>
      <c r="L498" s="2"/>
      <c r="M498" s="2"/>
      <c r="N498" s="2"/>
      <c r="AN498" s="2"/>
    </row>
    <row r="499" spans="10:40" ht="12.6">
      <c r="J499" s="2"/>
      <c r="K499" s="2"/>
      <c r="L499" s="2"/>
      <c r="M499" s="2"/>
      <c r="N499" s="2"/>
      <c r="AN499" s="2"/>
    </row>
    <row r="500" spans="10:40" ht="12.6">
      <c r="J500" s="2"/>
      <c r="K500" s="2"/>
      <c r="L500" s="2"/>
      <c r="M500" s="2"/>
      <c r="N500" s="2"/>
      <c r="AN500" s="2"/>
    </row>
    <row r="501" spans="10:40" ht="12.6">
      <c r="J501" s="2"/>
      <c r="K501" s="2"/>
      <c r="L501" s="2"/>
      <c r="M501" s="2"/>
      <c r="N501" s="2"/>
      <c r="AN501" s="2"/>
    </row>
    <row r="502" spans="10:40" ht="12.6">
      <c r="J502" s="2"/>
      <c r="K502" s="2"/>
      <c r="L502" s="2"/>
      <c r="M502" s="2"/>
      <c r="N502" s="2"/>
      <c r="AN502" s="2"/>
    </row>
    <row r="503" spans="10:40" ht="12.6">
      <c r="J503" s="2"/>
      <c r="K503" s="2"/>
      <c r="L503" s="2"/>
      <c r="M503" s="2"/>
      <c r="N503" s="2"/>
      <c r="AN503" s="2"/>
    </row>
    <row r="504" spans="10:40" ht="12.6">
      <c r="J504" s="2"/>
      <c r="K504" s="2"/>
      <c r="L504" s="2"/>
      <c r="M504" s="2"/>
      <c r="N504" s="2"/>
      <c r="AN504" s="2"/>
    </row>
    <row r="505" spans="10:40" ht="12.6">
      <c r="J505" s="2"/>
      <c r="K505" s="2"/>
      <c r="L505" s="2"/>
      <c r="M505" s="2"/>
      <c r="N505" s="2"/>
      <c r="AN505" s="2"/>
    </row>
    <row r="506" spans="10:40" ht="12.6">
      <c r="J506" s="2"/>
      <c r="K506" s="2"/>
      <c r="L506" s="2"/>
      <c r="M506" s="2"/>
      <c r="N506" s="2"/>
      <c r="AN506" s="2"/>
    </row>
    <row r="507" spans="10:40" ht="12.6">
      <c r="J507" s="2"/>
      <c r="K507" s="2"/>
      <c r="L507" s="2"/>
      <c r="M507" s="2"/>
      <c r="N507" s="2"/>
      <c r="AN507" s="2"/>
    </row>
    <row r="508" spans="10:40" ht="12.6">
      <c r="J508" s="2"/>
      <c r="K508" s="2"/>
      <c r="L508" s="2"/>
      <c r="M508" s="2"/>
      <c r="N508" s="2"/>
      <c r="AN508" s="2"/>
    </row>
    <row r="509" spans="10:40" ht="12.6">
      <c r="J509" s="2"/>
      <c r="K509" s="2"/>
      <c r="L509" s="2"/>
      <c r="M509" s="2"/>
      <c r="N509" s="2"/>
      <c r="AN509" s="2"/>
    </row>
    <row r="510" spans="10:40" ht="12.6">
      <c r="J510" s="2"/>
      <c r="K510" s="2"/>
      <c r="L510" s="2"/>
      <c r="M510" s="2"/>
      <c r="N510" s="2"/>
      <c r="AN510" s="2"/>
    </row>
    <row r="511" spans="10:40" ht="12.6">
      <c r="J511" s="2"/>
      <c r="K511" s="2"/>
      <c r="L511" s="2"/>
      <c r="M511" s="2"/>
      <c r="N511" s="2"/>
      <c r="AN511" s="2"/>
    </row>
    <row r="512" spans="10:40" ht="12.6">
      <c r="J512" s="2"/>
      <c r="K512" s="2"/>
      <c r="L512" s="2"/>
      <c r="M512" s="2"/>
      <c r="N512" s="2"/>
      <c r="AN512" s="2"/>
    </row>
    <row r="513" spans="10:40" ht="12.6">
      <c r="J513" s="2"/>
      <c r="K513" s="2"/>
      <c r="L513" s="2"/>
      <c r="M513" s="2"/>
      <c r="N513" s="2"/>
      <c r="AN513" s="2"/>
    </row>
    <row r="514" spans="10:40" ht="12.6">
      <c r="J514" s="2"/>
      <c r="K514" s="2"/>
      <c r="L514" s="2"/>
      <c r="M514" s="2"/>
      <c r="N514" s="2"/>
      <c r="AN514" s="2"/>
    </row>
    <row r="515" spans="10:40" ht="12.6">
      <c r="J515" s="2"/>
      <c r="K515" s="2"/>
      <c r="L515" s="2"/>
      <c r="M515" s="2"/>
      <c r="N515" s="2"/>
      <c r="AN515" s="2"/>
    </row>
    <row r="516" spans="10:40" ht="12.6">
      <c r="J516" s="2"/>
      <c r="K516" s="2"/>
      <c r="L516" s="2"/>
      <c r="M516" s="2"/>
      <c r="N516" s="2"/>
      <c r="AN516" s="2"/>
    </row>
    <row r="517" spans="10:40" ht="12.6">
      <c r="J517" s="2"/>
      <c r="K517" s="2"/>
      <c r="L517" s="2"/>
      <c r="M517" s="2"/>
      <c r="N517" s="2"/>
      <c r="AN517" s="2"/>
    </row>
    <row r="518" spans="10:40" ht="12.6">
      <c r="J518" s="2"/>
      <c r="K518" s="2"/>
      <c r="L518" s="2"/>
      <c r="M518" s="2"/>
      <c r="N518" s="2"/>
      <c r="AN518" s="2"/>
    </row>
    <row r="519" spans="10:40" ht="12.6">
      <c r="J519" s="2"/>
      <c r="K519" s="2"/>
      <c r="L519" s="2"/>
      <c r="M519" s="2"/>
      <c r="N519" s="2"/>
      <c r="AN519" s="2"/>
    </row>
    <row r="520" spans="10:40" ht="12.6">
      <c r="J520" s="2"/>
      <c r="K520" s="2"/>
      <c r="L520" s="2"/>
      <c r="M520" s="2"/>
      <c r="N520" s="2"/>
      <c r="AN520" s="2"/>
    </row>
    <row r="521" spans="10:40" ht="12.6">
      <c r="J521" s="2"/>
      <c r="K521" s="2"/>
      <c r="L521" s="2"/>
      <c r="M521" s="2"/>
      <c r="N521" s="2"/>
      <c r="AN521" s="2"/>
    </row>
    <row r="522" spans="10:40" ht="12.6">
      <c r="J522" s="2"/>
      <c r="K522" s="2"/>
      <c r="L522" s="2"/>
      <c r="M522" s="2"/>
      <c r="N522" s="2"/>
      <c r="AN522" s="2"/>
    </row>
    <row r="523" spans="10:40" ht="12.6">
      <c r="J523" s="2"/>
      <c r="K523" s="2"/>
      <c r="L523" s="2"/>
      <c r="M523" s="2"/>
      <c r="N523" s="2"/>
      <c r="AN523" s="2"/>
    </row>
    <row r="524" spans="10:40" ht="12.6">
      <c r="J524" s="2"/>
      <c r="K524" s="2"/>
      <c r="L524" s="2"/>
      <c r="M524" s="2"/>
      <c r="N524" s="2"/>
      <c r="AN524" s="2"/>
    </row>
    <row r="525" spans="10:40" ht="12.6">
      <c r="J525" s="2"/>
      <c r="K525" s="2"/>
      <c r="L525" s="2"/>
      <c r="M525" s="2"/>
      <c r="N525" s="2"/>
      <c r="AN525" s="2"/>
    </row>
    <row r="526" spans="10:40" ht="12.6">
      <c r="J526" s="2"/>
      <c r="K526" s="2"/>
      <c r="L526" s="2"/>
      <c r="M526" s="2"/>
      <c r="N526" s="2"/>
      <c r="AN526" s="2"/>
    </row>
    <row r="527" spans="10:40" ht="12.6">
      <c r="J527" s="2"/>
      <c r="K527" s="2"/>
      <c r="L527" s="2"/>
      <c r="M527" s="2"/>
      <c r="N527" s="2"/>
      <c r="AN527" s="2"/>
    </row>
    <row r="528" spans="10:40" ht="12.6">
      <c r="J528" s="2"/>
      <c r="K528" s="2"/>
      <c r="L528" s="2"/>
      <c r="M528" s="2"/>
      <c r="N528" s="2"/>
      <c r="AN528" s="2"/>
    </row>
    <row r="529" spans="10:40" ht="12.6">
      <c r="J529" s="2"/>
      <c r="K529" s="2"/>
      <c r="L529" s="2"/>
      <c r="M529" s="2"/>
      <c r="N529" s="2"/>
      <c r="AN529" s="2"/>
    </row>
    <row r="530" spans="10:40" ht="12.6">
      <c r="J530" s="2"/>
      <c r="K530" s="2"/>
      <c r="L530" s="2"/>
      <c r="M530" s="2"/>
      <c r="N530" s="2"/>
      <c r="AN530" s="2"/>
    </row>
    <row r="531" spans="10:40" ht="12.6">
      <c r="J531" s="2"/>
      <c r="K531" s="2"/>
      <c r="L531" s="2"/>
      <c r="M531" s="2"/>
      <c r="N531" s="2"/>
      <c r="AN531" s="2"/>
    </row>
    <row r="532" spans="10:40" ht="12.6">
      <c r="J532" s="2"/>
      <c r="K532" s="2"/>
      <c r="L532" s="2"/>
      <c r="M532" s="2"/>
      <c r="N532" s="2"/>
      <c r="AN532" s="2"/>
    </row>
    <row r="533" spans="10:40" ht="12.6">
      <c r="J533" s="2"/>
      <c r="K533" s="2"/>
      <c r="L533" s="2"/>
      <c r="M533" s="2"/>
      <c r="N533" s="2"/>
      <c r="AN533" s="2"/>
    </row>
    <row r="534" spans="10:40" ht="12.6">
      <c r="J534" s="2"/>
      <c r="K534" s="2"/>
      <c r="L534" s="2"/>
      <c r="M534" s="2"/>
      <c r="N534" s="2"/>
      <c r="AN534" s="2"/>
    </row>
    <row r="535" spans="10:40" ht="12.6">
      <c r="J535" s="2"/>
      <c r="K535" s="2"/>
      <c r="L535" s="2"/>
      <c r="M535" s="2"/>
      <c r="N535" s="2"/>
      <c r="AN535" s="2"/>
    </row>
    <row r="536" spans="10:40" ht="12.6">
      <c r="J536" s="2"/>
      <c r="K536" s="2"/>
      <c r="L536" s="2"/>
      <c r="M536" s="2"/>
      <c r="N536" s="2"/>
      <c r="AN536" s="2"/>
    </row>
    <row r="537" spans="10:40" ht="12.6">
      <c r="J537" s="2"/>
      <c r="K537" s="2"/>
      <c r="L537" s="2"/>
      <c r="M537" s="2"/>
      <c r="N537" s="2"/>
      <c r="AN537" s="2"/>
    </row>
    <row r="538" spans="10:40" ht="12.6">
      <c r="J538" s="2"/>
      <c r="K538" s="2"/>
      <c r="L538" s="2"/>
      <c r="M538" s="2"/>
      <c r="N538" s="2"/>
      <c r="AN538" s="2"/>
    </row>
    <row r="539" spans="10:40" ht="12.6">
      <c r="J539" s="2"/>
      <c r="K539" s="2"/>
      <c r="L539" s="2"/>
      <c r="M539" s="2"/>
      <c r="N539" s="2"/>
      <c r="AN539" s="2"/>
    </row>
    <row r="540" spans="10:40" ht="12.6">
      <c r="J540" s="2"/>
      <c r="K540" s="2"/>
      <c r="L540" s="2"/>
      <c r="M540" s="2"/>
      <c r="N540" s="2"/>
      <c r="AN540" s="2"/>
    </row>
    <row r="541" spans="10:40" ht="12.6">
      <c r="J541" s="2"/>
      <c r="K541" s="2"/>
      <c r="L541" s="2"/>
      <c r="M541" s="2"/>
      <c r="N541" s="2"/>
      <c r="AN541" s="2"/>
    </row>
    <row r="542" spans="10:40" ht="12.6">
      <c r="J542" s="2"/>
      <c r="K542" s="2"/>
      <c r="L542" s="2"/>
      <c r="M542" s="2"/>
      <c r="N542" s="2"/>
      <c r="AN542" s="2"/>
    </row>
    <row r="543" spans="10:40" ht="12.6">
      <c r="J543" s="2"/>
      <c r="K543" s="2"/>
      <c r="L543" s="2"/>
      <c r="M543" s="2"/>
      <c r="N543" s="2"/>
      <c r="AN543" s="2"/>
    </row>
    <row r="544" spans="10:40" ht="12.6">
      <c r="J544" s="2"/>
      <c r="K544" s="2"/>
      <c r="L544" s="2"/>
      <c r="M544" s="2"/>
      <c r="N544" s="2"/>
      <c r="AN544" s="2"/>
    </row>
    <row r="545" spans="10:40" ht="12.6">
      <c r="J545" s="2"/>
      <c r="K545" s="2"/>
      <c r="L545" s="2"/>
      <c r="M545" s="2"/>
      <c r="N545" s="2"/>
      <c r="AN545" s="2"/>
    </row>
    <row r="546" spans="10:40" ht="12.6">
      <c r="J546" s="2"/>
      <c r="K546" s="2"/>
      <c r="L546" s="2"/>
      <c r="M546" s="2"/>
      <c r="N546" s="2"/>
      <c r="AN546" s="2"/>
    </row>
    <row r="547" spans="10:40" ht="12.6">
      <c r="J547" s="2"/>
      <c r="K547" s="2"/>
      <c r="L547" s="2"/>
      <c r="M547" s="2"/>
      <c r="N547" s="2"/>
      <c r="AN547" s="2"/>
    </row>
    <row r="548" spans="10:40" ht="12.6">
      <c r="J548" s="2"/>
      <c r="K548" s="2"/>
      <c r="L548" s="2"/>
      <c r="M548" s="2"/>
      <c r="N548" s="2"/>
      <c r="AN548" s="2"/>
    </row>
    <row r="549" spans="10:40" ht="12.6">
      <c r="J549" s="2"/>
      <c r="K549" s="2"/>
      <c r="L549" s="2"/>
      <c r="M549" s="2"/>
      <c r="N549" s="2"/>
      <c r="AN549" s="2"/>
    </row>
    <row r="550" spans="10:40" ht="12.6">
      <c r="J550" s="2"/>
      <c r="K550" s="2"/>
      <c r="L550" s="2"/>
      <c r="M550" s="2"/>
      <c r="N550" s="2"/>
      <c r="AN550" s="2"/>
    </row>
    <row r="551" spans="10:40" ht="12.6">
      <c r="J551" s="2"/>
      <c r="K551" s="2"/>
      <c r="L551" s="2"/>
      <c r="M551" s="2"/>
      <c r="N551" s="2"/>
      <c r="AN551" s="2"/>
    </row>
    <row r="552" spans="10:40" ht="12.6">
      <c r="J552" s="2"/>
      <c r="K552" s="2"/>
      <c r="L552" s="2"/>
      <c r="M552" s="2"/>
      <c r="N552" s="2"/>
      <c r="AN552" s="2"/>
    </row>
    <row r="553" spans="10:40" ht="12.6">
      <c r="J553" s="2"/>
      <c r="K553" s="2"/>
      <c r="L553" s="2"/>
      <c r="M553" s="2"/>
      <c r="N553" s="2"/>
      <c r="AN553" s="2"/>
    </row>
    <row r="554" spans="10:40" ht="12.6">
      <c r="J554" s="2"/>
      <c r="K554" s="2"/>
      <c r="L554" s="2"/>
      <c r="M554" s="2"/>
      <c r="N554" s="2"/>
      <c r="AN554" s="2"/>
    </row>
    <row r="555" spans="10:40" ht="12.6">
      <c r="J555" s="2"/>
      <c r="K555" s="2"/>
      <c r="L555" s="2"/>
      <c r="M555" s="2"/>
      <c r="N555" s="2"/>
      <c r="AN555" s="2"/>
    </row>
    <row r="556" spans="10:40" ht="12.6">
      <c r="J556" s="2"/>
      <c r="K556" s="2"/>
      <c r="L556" s="2"/>
      <c r="M556" s="2"/>
      <c r="N556" s="2"/>
      <c r="AN556" s="2"/>
    </row>
    <row r="557" spans="10:40" ht="12.6">
      <c r="J557" s="2"/>
      <c r="K557" s="2"/>
      <c r="L557" s="2"/>
      <c r="M557" s="2"/>
      <c r="N557" s="2"/>
      <c r="AN557" s="2"/>
    </row>
    <row r="558" spans="10:40" ht="12.6">
      <c r="J558" s="2"/>
      <c r="K558" s="2"/>
      <c r="L558" s="2"/>
      <c r="M558" s="2"/>
      <c r="N558" s="2"/>
      <c r="AN558" s="2"/>
    </row>
    <row r="559" spans="10:40" ht="12.6">
      <c r="J559" s="2"/>
      <c r="K559" s="2"/>
      <c r="L559" s="2"/>
      <c r="M559" s="2"/>
      <c r="N559" s="2"/>
      <c r="AN559" s="2"/>
    </row>
    <row r="560" spans="10:40" ht="12.6">
      <c r="J560" s="2"/>
      <c r="K560" s="2"/>
      <c r="L560" s="2"/>
      <c r="M560" s="2"/>
      <c r="N560" s="2"/>
      <c r="AN560" s="2"/>
    </row>
    <row r="561" spans="10:40" ht="12.6">
      <c r="J561" s="2"/>
      <c r="K561" s="2"/>
      <c r="L561" s="2"/>
      <c r="M561" s="2"/>
      <c r="N561" s="2"/>
      <c r="AN561" s="2"/>
    </row>
    <row r="562" spans="10:40" ht="12.6">
      <c r="J562" s="2"/>
      <c r="K562" s="2"/>
      <c r="L562" s="2"/>
      <c r="M562" s="2"/>
      <c r="N562" s="2"/>
      <c r="AN562" s="2"/>
    </row>
    <row r="563" spans="10:40" ht="12.6">
      <c r="J563" s="2"/>
      <c r="K563" s="2"/>
      <c r="L563" s="2"/>
      <c r="M563" s="2"/>
      <c r="N563" s="2"/>
      <c r="AN563" s="2"/>
    </row>
    <row r="564" spans="10:40" ht="12.6">
      <c r="J564" s="2"/>
      <c r="K564" s="2"/>
      <c r="L564" s="2"/>
      <c r="M564" s="2"/>
      <c r="N564" s="2"/>
      <c r="AN564" s="2"/>
    </row>
    <row r="565" spans="10:40" ht="12.6">
      <c r="J565" s="2"/>
      <c r="K565" s="2"/>
      <c r="L565" s="2"/>
      <c r="M565" s="2"/>
      <c r="N565" s="2"/>
      <c r="AN565" s="2"/>
    </row>
    <row r="566" spans="10:40" ht="12.6">
      <c r="J566" s="2"/>
      <c r="K566" s="2"/>
      <c r="L566" s="2"/>
      <c r="M566" s="2"/>
      <c r="N566" s="2"/>
      <c r="AN566" s="2"/>
    </row>
    <row r="567" spans="10:40" ht="12.6">
      <c r="J567" s="2"/>
      <c r="K567" s="2"/>
      <c r="L567" s="2"/>
      <c r="M567" s="2"/>
      <c r="N567" s="2"/>
      <c r="AN567" s="2"/>
    </row>
    <row r="568" spans="10:40" ht="12.6">
      <c r="J568" s="2"/>
      <c r="K568" s="2"/>
      <c r="L568" s="2"/>
      <c r="M568" s="2"/>
      <c r="N568" s="2"/>
      <c r="AN568" s="2"/>
    </row>
    <row r="569" spans="10:40" ht="12.6">
      <c r="J569" s="2"/>
      <c r="K569" s="2"/>
      <c r="L569" s="2"/>
      <c r="M569" s="2"/>
      <c r="N569" s="2"/>
      <c r="AN569" s="2"/>
    </row>
    <row r="570" spans="10:40" ht="12.6">
      <c r="J570" s="2"/>
      <c r="K570" s="2"/>
      <c r="L570" s="2"/>
      <c r="M570" s="2"/>
      <c r="N570" s="2"/>
      <c r="AN570" s="2"/>
    </row>
    <row r="571" spans="10:40" ht="12.6">
      <c r="J571" s="2"/>
      <c r="K571" s="2"/>
      <c r="L571" s="2"/>
      <c r="M571" s="2"/>
      <c r="N571" s="2"/>
      <c r="AN571" s="2"/>
    </row>
    <row r="572" spans="10:40" ht="12.6">
      <c r="J572" s="2"/>
      <c r="K572" s="2"/>
      <c r="L572" s="2"/>
      <c r="M572" s="2"/>
      <c r="N572" s="2"/>
      <c r="AN572" s="2"/>
    </row>
    <row r="573" spans="10:40" ht="12.6">
      <c r="J573" s="2"/>
      <c r="K573" s="2"/>
      <c r="L573" s="2"/>
      <c r="M573" s="2"/>
      <c r="N573" s="2"/>
      <c r="AN573" s="2"/>
    </row>
    <row r="574" spans="10:40" ht="12.6">
      <c r="J574" s="2"/>
      <c r="K574" s="2"/>
      <c r="L574" s="2"/>
      <c r="M574" s="2"/>
      <c r="N574" s="2"/>
      <c r="AN574" s="2"/>
    </row>
    <row r="575" spans="10:40" ht="12.6">
      <c r="J575" s="2"/>
      <c r="K575" s="2"/>
      <c r="L575" s="2"/>
      <c r="M575" s="2"/>
      <c r="N575" s="2"/>
      <c r="AN575" s="2"/>
    </row>
    <row r="576" spans="10:40" ht="12.6">
      <c r="J576" s="2"/>
      <c r="K576" s="2"/>
      <c r="L576" s="2"/>
      <c r="M576" s="2"/>
      <c r="N576" s="2"/>
      <c r="AN576" s="2"/>
    </row>
    <row r="577" spans="10:40" ht="12.6">
      <c r="J577" s="2"/>
      <c r="K577" s="2"/>
      <c r="L577" s="2"/>
      <c r="M577" s="2"/>
      <c r="N577" s="2"/>
      <c r="AN577" s="2"/>
    </row>
    <row r="578" spans="10:40" ht="12.6">
      <c r="J578" s="2"/>
      <c r="K578" s="2"/>
      <c r="L578" s="2"/>
      <c r="M578" s="2"/>
      <c r="N578" s="2"/>
      <c r="AN578" s="2"/>
    </row>
    <row r="579" spans="10:40" ht="12.6">
      <c r="J579" s="2"/>
      <c r="K579" s="2"/>
      <c r="L579" s="2"/>
      <c r="M579" s="2"/>
      <c r="N579" s="2"/>
      <c r="AN579" s="2"/>
    </row>
    <row r="580" spans="10:40" ht="12.6">
      <c r="J580" s="2"/>
      <c r="K580" s="2"/>
      <c r="L580" s="2"/>
      <c r="M580" s="2"/>
      <c r="N580" s="2"/>
      <c r="AN580" s="2"/>
    </row>
    <row r="581" spans="10:40" ht="12.6">
      <c r="J581" s="2"/>
      <c r="K581" s="2"/>
      <c r="L581" s="2"/>
      <c r="M581" s="2"/>
      <c r="N581" s="2"/>
      <c r="AN581" s="2"/>
    </row>
    <row r="582" spans="10:40" ht="12.6">
      <c r="J582" s="2"/>
      <c r="K582" s="2"/>
      <c r="L582" s="2"/>
      <c r="M582" s="2"/>
      <c r="N582" s="2"/>
      <c r="AN582" s="2"/>
    </row>
    <row r="583" spans="10:40" ht="12.6">
      <c r="J583" s="2"/>
      <c r="K583" s="2"/>
      <c r="L583" s="2"/>
      <c r="M583" s="2"/>
      <c r="N583" s="2"/>
      <c r="AN583" s="2"/>
    </row>
    <row r="584" spans="10:40" ht="12.6">
      <c r="J584" s="2"/>
      <c r="K584" s="2"/>
      <c r="L584" s="2"/>
      <c r="M584" s="2"/>
      <c r="N584" s="2"/>
      <c r="AN584" s="2"/>
    </row>
    <row r="585" spans="10:40" ht="12.6">
      <c r="J585" s="2"/>
      <c r="K585" s="2"/>
      <c r="L585" s="2"/>
      <c r="M585" s="2"/>
      <c r="N585" s="2"/>
      <c r="AN585" s="2"/>
    </row>
    <row r="586" spans="10:40" ht="12.6">
      <c r="J586" s="2"/>
      <c r="K586" s="2"/>
      <c r="L586" s="2"/>
      <c r="M586" s="2"/>
      <c r="N586" s="2"/>
      <c r="AN586" s="2"/>
    </row>
    <row r="587" spans="10:40" ht="12.6">
      <c r="J587" s="2"/>
      <c r="K587" s="2"/>
      <c r="L587" s="2"/>
      <c r="M587" s="2"/>
      <c r="N587" s="2"/>
      <c r="AN587" s="2"/>
    </row>
    <row r="588" spans="10:40" ht="12.6">
      <c r="J588" s="2"/>
      <c r="K588" s="2"/>
      <c r="L588" s="2"/>
      <c r="M588" s="2"/>
      <c r="N588" s="2"/>
      <c r="AN588" s="2"/>
    </row>
    <row r="589" spans="10:40" ht="12.6">
      <c r="J589" s="2"/>
      <c r="K589" s="2"/>
      <c r="L589" s="2"/>
      <c r="M589" s="2"/>
      <c r="N589" s="2"/>
      <c r="AN589" s="2"/>
    </row>
    <row r="590" spans="10:40" ht="12.6">
      <c r="J590" s="2"/>
      <c r="K590" s="2"/>
      <c r="L590" s="2"/>
      <c r="M590" s="2"/>
      <c r="N590" s="2"/>
      <c r="AN590" s="2"/>
    </row>
    <row r="591" spans="10:40" ht="12.6">
      <c r="J591" s="2"/>
      <c r="K591" s="2"/>
      <c r="L591" s="2"/>
      <c r="M591" s="2"/>
      <c r="N591" s="2"/>
      <c r="AN591" s="2"/>
    </row>
    <row r="592" spans="10:40" ht="12.6">
      <c r="J592" s="2"/>
      <c r="K592" s="2"/>
      <c r="L592" s="2"/>
      <c r="M592" s="2"/>
      <c r="N592" s="2"/>
      <c r="AN592" s="2"/>
    </row>
    <row r="593" spans="10:40" ht="12.6">
      <c r="J593" s="2"/>
      <c r="K593" s="2"/>
      <c r="L593" s="2"/>
      <c r="M593" s="2"/>
      <c r="N593" s="2"/>
      <c r="AN593" s="2"/>
    </row>
    <row r="594" spans="10:40" ht="12.6">
      <c r="J594" s="2"/>
      <c r="K594" s="2"/>
      <c r="L594" s="2"/>
      <c r="M594" s="2"/>
      <c r="N594" s="2"/>
      <c r="AN594" s="2"/>
    </row>
    <row r="595" spans="10:40" ht="12.6">
      <c r="J595" s="2"/>
      <c r="K595" s="2"/>
      <c r="L595" s="2"/>
      <c r="M595" s="2"/>
      <c r="N595" s="2"/>
      <c r="AN595" s="2"/>
    </row>
    <row r="596" spans="10:40" ht="12.6">
      <c r="J596" s="2"/>
      <c r="K596" s="2"/>
      <c r="L596" s="2"/>
      <c r="M596" s="2"/>
      <c r="N596" s="2"/>
      <c r="AN596" s="2"/>
    </row>
    <row r="597" spans="10:40" ht="12.6">
      <c r="J597" s="2"/>
      <c r="K597" s="2"/>
      <c r="L597" s="2"/>
      <c r="M597" s="2"/>
      <c r="N597" s="2"/>
      <c r="AN597" s="2"/>
    </row>
    <row r="598" spans="10:40" ht="12.6">
      <c r="J598" s="2"/>
      <c r="K598" s="2"/>
      <c r="L598" s="2"/>
      <c r="M598" s="2"/>
      <c r="N598" s="2"/>
      <c r="AN598" s="2"/>
    </row>
    <row r="599" spans="10:40" ht="12.6">
      <c r="J599" s="2"/>
      <c r="K599" s="2"/>
      <c r="L599" s="2"/>
      <c r="M599" s="2"/>
      <c r="N599" s="2"/>
      <c r="AN599" s="2"/>
    </row>
    <row r="600" spans="10:40" ht="12.6">
      <c r="J600" s="2"/>
      <c r="K600" s="2"/>
      <c r="L600" s="2"/>
      <c r="M600" s="2"/>
      <c r="N600" s="2"/>
      <c r="AN600" s="2"/>
    </row>
    <row r="601" spans="10:40" ht="12.6">
      <c r="J601" s="2"/>
      <c r="K601" s="2"/>
      <c r="L601" s="2"/>
      <c r="M601" s="2"/>
      <c r="N601" s="2"/>
      <c r="AN601" s="2"/>
    </row>
    <row r="602" spans="10:40" ht="12.6">
      <c r="J602" s="2"/>
      <c r="K602" s="2"/>
      <c r="L602" s="2"/>
      <c r="M602" s="2"/>
      <c r="N602" s="2"/>
      <c r="AN602" s="2"/>
    </row>
    <row r="603" spans="10:40" ht="12.6">
      <c r="J603" s="2"/>
      <c r="K603" s="2"/>
      <c r="L603" s="2"/>
      <c r="M603" s="2"/>
      <c r="N603" s="2"/>
      <c r="AN603" s="2"/>
    </row>
    <row r="604" spans="10:40" ht="12.6">
      <c r="J604" s="2"/>
      <c r="K604" s="2"/>
      <c r="L604" s="2"/>
      <c r="M604" s="2"/>
      <c r="N604" s="2"/>
      <c r="AN604" s="2"/>
    </row>
    <row r="605" spans="10:40" ht="12.6">
      <c r="J605" s="2"/>
      <c r="K605" s="2"/>
      <c r="L605" s="2"/>
      <c r="M605" s="2"/>
      <c r="N605" s="2"/>
      <c r="AN605" s="2"/>
    </row>
    <row r="606" spans="10:40" ht="12.6">
      <c r="J606" s="2"/>
      <c r="K606" s="2"/>
      <c r="L606" s="2"/>
      <c r="M606" s="2"/>
      <c r="N606" s="2"/>
      <c r="AN606" s="2"/>
    </row>
    <row r="607" spans="10:40" ht="12.6">
      <c r="J607" s="2"/>
      <c r="K607" s="2"/>
      <c r="L607" s="2"/>
      <c r="M607" s="2"/>
      <c r="N607" s="2"/>
      <c r="AN607" s="2"/>
    </row>
    <row r="608" spans="10:40" ht="12.6">
      <c r="J608" s="2"/>
      <c r="K608" s="2"/>
      <c r="L608" s="2"/>
      <c r="M608" s="2"/>
      <c r="N608" s="2"/>
      <c r="AN608" s="2"/>
    </row>
    <row r="609" spans="10:40" ht="12.6">
      <c r="J609" s="2"/>
      <c r="K609" s="2"/>
      <c r="L609" s="2"/>
      <c r="M609" s="2"/>
      <c r="N609" s="2"/>
      <c r="AN609" s="2"/>
    </row>
    <row r="610" spans="10:40" ht="12.6">
      <c r="J610" s="2"/>
      <c r="K610" s="2"/>
      <c r="L610" s="2"/>
      <c r="M610" s="2"/>
      <c r="N610" s="2"/>
      <c r="AN610" s="2"/>
    </row>
    <row r="611" spans="10:40" ht="12.6">
      <c r="J611" s="2"/>
      <c r="K611" s="2"/>
      <c r="L611" s="2"/>
      <c r="M611" s="2"/>
      <c r="N611" s="2"/>
      <c r="AN611" s="2"/>
    </row>
    <row r="612" spans="10:40" ht="12.6">
      <c r="J612" s="2"/>
      <c r="K612" s="2"/>
      <c r="L612" s="2"/>
      <c r="M612" s="2"/>
      <c r="N612" s="2"/>
      <c r="AN612" s="2"/>
    </row>
    <row r="613" spans="10:40" ht="12.6">
      <c r="J613" s="2"/>
      <c r="K613" s="2"/>
      <c r="L613" s="2"/>
      <c r="M613" s="2"/>
      <c r="N613" s="2"/>
      <c r="AN613" s="2"/>
    </row>
    <row r="614" spans="10:40" ht="12.6">
      <c r="J614" s="2"/>
      <c r="K614" s="2"/>
      <c r="L614" s="2"/>
      <c r="M614" s="2"/>
      <c r="N614" s="2"/>
      <c r="AN614" s="2"/>
    </row>
    <row r="615" spans="10:40" ht="12.6">
      <c r="J615" s="2"/>
      <c r="K615" s="2"/>
      <c r="L615" s="2"/>
      <c r="M615" s="2"/>
      <c r="N615" s="2"/>
      <c r="AN615" s="2"/>
    </row>
    <row r="616" spans="10:40" ht="12.6">
      <c r="J616" s="2"/>
      <c r="K616" s="2"/>
      <c r="L616" s="2"/>
      <c r="M616" s="2"/>
      <c r="N616" s="2"/>
      <c r="AN616" s="2"/>
    </row>
    <row r="617" spans="10:40" ht="12.6">
      <c r="J617" s="2"/>
      <c r="K617" s="2"/>
      <c r="L617" s="2"/>
      <c r="M617" s="2"/>
      <c r="N617" s="2"/>
      <c r="AN617" s="2"/>
    </row>
    <row r="618" spans="10:40" ht="12.6">
      <c r="J618" s="2"/>
      <c r="K618" s="2"/>
      <c r="L618" s="2"/>
      <c r="M618" s="2"/>
      <c r="N618" s="2"/>
      <c r="AN618" s="2"/>
    </row>
    <row r="619" spans="10:40" ht="12.6">
      <c r="J619" s="2"/>
      <c r="K619" s="2"/>
      <c r="L619" s="2"/>
      <c r="M619" s="2"/>
      <c r="N619" s="2"/>
      <c r="AN619" s="2"/>
    </row>
    <row r="620" spans="10:40" ht="12.6">
      <c r="J620" s="2"/>
      <c r="K620" s="2"/>
      <c r="L620" s="2"/>
      <c r="M620" s="2"/>
      <c r="N620" s="2"/>
      <c r="AN620" s="2"/>
    </row>
    <row r="621" spans="10:40" ht="12.6">
      <c r="J621" s="2"/>
      <c r="K621" s="2"/>
      <c r="L621" s="2"/>
      <c r="M621" s="2"/>
      <c r="N621" s="2"/>
      <c r="AN621" s="2"/>
    </row>
    <row r="622" spans="10:40" ht="12.6">
      <c r="J622" s="2"/>
      <c r="K622" s="2"/>
      <c r="L622" s="2"/>
      <c r="M622" s="2"/>
      <c r="N622" s="2"/>
      <c r="AN622" s="2"/>
    </row>
    <row r="623" spans="10:40" ht="12.6">
      <c r="J623" s="2"/>
      <c r="K623" s="2"/>
      <c r="L623" s="2"/>
      <c r="M623" s="2"/>
      <c r="N623" s="2"/>
      <c r="AN623" s="2"/>
    </row>
    <row r="624" spans="10:40" ht="12.6">
      <c r="J624" s="2"/>
      <c r="K624" s="2"/>
      <c r="L624" s="2"/>
      <c r="M624" s="2"/>
      <c r="N624" s="2"/>
      <c r="AN624" s="2"/>
    </row>
    <row r="625" spans="10:40" ht="12.6">
      <c r="J625" s="2"/>
      <c r="K625" s="2"/>
      <c r="L625" s="2"/>
      <c r="M625" s="2"/>
      <c r="N625" s="2"/>
      <c r="AN625" s="2"/>
    </row>
    <row r="626" spans="10:40" ht="12.6">
      <c r="J626" s="2"/>
      <c r="K626" s="2"/>
      <c r="L626" s="2"/>
      <c r="M626" s="2"/>
      <c r="N626" s="2"/>
      <c r="AN626" s="2"/>
    </row>
    <row r="627" spans="10:40" ht="12.6">
      <c r="J627" s="2"/>
      <c r="K627" s="2"/>
      <c r="L627" s="2"/>
      <c r="M627" s="2"/>
      <c r="N627" s="2"/>
      <c r="AN627" s="2"/>
    </row>
    <row r="628" spans="10:40" ht="12.6">
      <c r="J628" s="2"/>
      <c r="K628" s="2"/>
      <c r="L628" s="2"/>
      <c r="M628" s="2"/>
      <c r="N628" s="2"/>
      <c r="AN628" s="2"/>
    </row>
    <row r="629" spans="10:40" ht="12.6">
      <c r="J629" s="2"/>
      <c r="K629" s="2"/>
      <c r="L629" s="2"/>
      <c r="M629" s="2"/>
      <c r="N629" s="2"/>
      <c r="AN629" s="2"/>
    </row>
    <row r="630" spans="10:40" ht="12.6">
      <c r="J630" s="2"/>
      <c r="K630" s="2"/>
      <c r="L630" s="2"/>
      <c r="M630" s="2"/>
      <c r="N630" s="2"/>
      <c r="AN630" s="2"/>
    </row>
    <row r="631" spans="10:40" ht="12.6">
      <c r="J631" s="2"/>
      <c r="K631" s="2"/>
      <c r="L631" s="2"/>
      <c r="M631" s="2"/>
      <c r="N631" s="2"/>
      <c r="AN631" s="2"/>
    </row>
    <row r="632" spans="10:40" ht="12.6">
      <c r="J632" s="2"/>
      <c r="K632" s="2"/>
      <c r="L632" s="2"/>
      <c r="M632" s="2"/>
      <c r="N632" s="2"/>
      <c r="AN632" s="2"/>
    </row>
    <row r="633" spans="10:40" ht="12.6">
      <c r="J633" s="2"/>
      <c r="K633" s="2"/>
      <c r="L633" s="2"/>
      <c r="M633" s="2"/>
      <c r="N633" s="2"/>
      <c r="AN633" s="2"/>
    </row>
    <row r="634" spans="10:40" ht="12.6">
      <c r="J634" s="2"/>
      <c r="K634" s="2"/>
      <c r="L634" s="2"/>
      <c r="M634" s="2"/>
      <c r="N634" s="2"/>
      <c r="AN634" s="2"/>
    </row>
    <row r="635" spans="10:40" ht="12.6">
      <c r="J635" s="2"/>
      <c r="K635" s="2"/>
      <c r="L635" s="2"/>
      <c r="M635" s="2"/>
      <c r="N635" s="2"/>
      <c r="AN635" s="2"/>
    </row>
    <row r="636" spans="10:40" ht="12.6">
      <c r="J636" s="2"/>
      <c r="K636" s="2"/>
      <c r="L636" s="2"/>
      <c r="M636" s="2"/>
      <c r="N636" s="2"/>
      <c r="AN636" s="2"/>
    </row>
    <row r="637" spans="10:40" ht="12.6">
      <c r="J637" s="2"/>
      <c r="K637" s="2"/>
      <c r="L637" s="2"/>
      <c r="M637" s="2"/>
      <c r="N637" s="2"/>
      <c r="AN637" s="2"/>
    </row>
    <row r="638" spans="10:40" ht="12.6">
      <c r="J638" s="2"/>
      <c r="K638" s="2"/>
      <c r="L638" s="2"/>
      <c r="M638" s="2"/>
      <c r="N638" s="2"/>
      <c r="AN638" s="2"/>
    </row>
    <row r="639" spans="10:40" ht="12.6">
      <c r="J639" s="2"/>
      <c r="K639" s="2"/>
      <c r="L639" s="2"/>
      <c r="M639" s="2"/>
      <c r="N639" s="2"/>
      <c r="AN639" s="2"/>
    </row>
    <row r="640" spans="10:40" ht="12.6">
      <c r="J640" s="2"/>
      <c r="K640" s="2"/>
      <c r="L640" s="2"/>
      <c r="M640" s="2"/>
      <c r="N640" s="2"/>
      <c r="AN640" s="2"/>
    </row>
    <row r="641" spans="10:40" ht="12.6">
      <c r="J641" s="2"/>
      <c r="K641" s="2"/>
      <c r="L641" s="2"/>
      <c r="M641" s="2"/>
      <c r="N641" s="2"/>
      <c r="AN641" s="2"/>
    </row>
    <row r="642" spans="10:40" ht="12.6">
      <c r="J642" s="2"/>
      <c r="K642" s="2"/>
      <c r="L642" s="2"/>
      <c r="M642" s="2"/>
      <c r="N642" s="2"/>
      <c r="AN642" s="2"/>
    </row>
    <row r="643" spans="10:40" ht="12.6">
      <c r="J643" s="2"/>
      <c r="K643" s="2"/>
      <c r="L643" s="2"/>
      <c r="M643" s="2"/>
      <c r="N643" s="2"/>
      <c r="AN643" s="2"/>
    </row>
    <row r="644" spans="10:40" ht="12.6">
      <c r="J644" s="2"/>
      <c r="K644" s="2"/>
      <c r="L644" s="2"/>
      <c r="M644" s="2"/>
      <c r="N644" s="2"/>
      <c r="AN644" s="2"/>
    </row>
    <row r="645" spans="10:40" ht="12.6">
      <c r="J645" s="2"/>
      <c r="K645" s="2"/>
      <c r="L645" s="2"/>
      <c r="M645" s="2"/>
      <c r="N645" s="2"/>
      <c r="AN645" s="2"/>
    </row>
    <row r="646" spans="10:40" ht="12.6">
      <c r="J646" s="2"/>
      <c r="K646" s="2"/>
      <c r="L646" s="2"/>
      <c r="M646" s="2"/>
      <c r="N646" s="2"/>
      <c r="AN646" s="2"/>
    </row>
    <row r="647" spans="10:40" ht="12.6">
      <c r="J647" s="2"/>
      <c r="K647" s="2"/>
      <c r="L647" s="2"/>
      <c r="M647" s="2"/>
      <c r="N647" s="2"/>
      <c r="AN647" s="2"/>
    </row>
    <row r="648" spans="10:40" ht="12.6">
      <c r="J648" s="2"/>
      <c r="K648" s="2"/>
      <c r="L648" s="2"/>
      <c r="M648" s="2"/>
      <c r="N648" s="2"/>
      <c r="AN648" s="2"/>
    </row>
    <row r="649" spans="10:40" ht="12.6">
      <c r="J649" s="2"/>
      <c r="K649" s="2"/>
      <c r="L649" s="2"/>
      <c r="M649" s="2"/>
      <c r="N649" s="2"/>
      <c r="AN649" s="2"/>
    </row>
    <row r="650" spans="10:40" ht="12.6">
      <c r="J650" s="2"/>
      <c r="K650" s="2"/>
      <c r="L650" s="2"/>
      <c r="M650" s="2"/>
      <c r="N650" s="2"/>
      <c r="AN650" s="2"/>
    </row>
    <row r="651" spans="10:40" ht="12.6">
      <c r="J651" s="2"/>
      <c r="K651" s="2"/>
      <c r="L651" s="2"/>
      <c r="M651" s="2"/>
      <c r="N651" s="2"/>
      <c r="AN651" s="2"/>
    </row>
    <row r="652" spans="10:40" ht="12.6">
      <c r="J652" s="2"/>
      <c r="K652" s="2"/>
      <c r="L652" s="2"/>
      <c r="M652" s="2"/>
      <c r="N652" s="2"/>
      <c r="AN652" s="2"/>
    </row>
    <row r="653" spans="10:40" ht="12.6">
      <c r="J653" s="2"/>
      <c r="K653" s="2"/>
      <c r="L653" s="2"/>
      <c r="M653" s="2"/>
      <c r="N653" s="2"/>
      <c r="AN653" s="2"/>
    </row>
    <row r="654" spans="10:40" ht="12.6">
      <c r="J654" s="2"/>
      <c r="K654" s="2"/>
      <c r="L654" s="2"/>
      <c r="M654" s="2"/>
      <c r="N654" s="2"/>
      <c r="AN654" s="2"/>
    </row>
    <row r="655" spans="10:40" ht="12.6">
      <c r="J655" s="2"/>
      <c r="K655" s="2"/>
      <c r="L655" s="2"/>
      <c r="M655" s="2"/>
      <c r="N655" s="2"/>
      <c r="AN655" s="2"/>
    </row>
    <row r="656" spans="10:40" ht="12.6">
      <c r="J656" s="2"/>
      <c r="K656" s="2"/>
      <c r="L656" s="2"/>
      <c r="M656" s="2"/>
      <c r="N656" s="2"/>
      <c r="AN656" s="2"/>
    </row>
    <row r="657" spans="10:40" ht="12.6">
      <c r="J657" s="2"/>
      <c r="K657" s="2"/>
      <c r="L657" s="2"/>
      <c r="M657" s="2"/>
      <c r="N657" s="2"/>
      <c r="AN657" s="2"/>
    </row>
    <row r="658" spans="10:40" ht="12.6">
      <c r="J658" s="2"/>
      <c r="K658" s="2"/>
      <c r="L658" s="2"/>
      <c r="M658" s="2"/>
      <c r="N658" s="2"/>
      <c r="AN658" s="2"/>
    </row>
    <row r="659" spans="10:40" ht="12.6">
      <c r="J659" s="2"/>
      <c r="K659" s="2"/>
      <c r="L659" s="2"/>
      <c r="M659" s="2"/>
      <c r="N659" s="2"/>
      <c r="AN659" s="2"/>
    </row>
    <row r="660" spans="10:40" ht="12.6">
      <c r="J660" s="2"/>
      <c r="K660" s="2"/>
      <c r="L660" s="2"/>
      <c r="M660" s="2"/>
      <c r="N660" s="2"/>
      <c r="AN660" s="2"/>
    </row>
    <row r="661" spans="10:40" ht="12.6">
      <c r="J661" s="2"/>
      <c r="K661" s="2"/>
      <c r="L661" s="2"/>
      <c r="M661" s="2"/>
      <c r="N661" s="2"/>
      <c r="AN661" s="2"/>
    </row>
    <row r="662" spans="10:40" ht="12.6">
      <c r="J662" s="2"/>
      <c r="K662" s="2"/>
      <c r="L662" s="2"/>
      <c r="M662" s="2"/>
      <c r="N662" s="2"/>
      <c r="AN662" s="2"/>
    </row>
    <row r="663" spans="10:40" ht="12.6">
      <c r="J663" s="2"/>
      <c r="K663" s="2"/>
      <c r="L663" s="2"/>
      <c r="M663" s="2"/>
      <c r="N663" s="2"/>
      <c r="AN663" s="2"/>
    </row>
    <row r="664" spans="10:40" ht="12.6">
      <c r="J664" s="2"/>
      <c r="K664" s="2"/>
      <c r="L664" s="2"/>
      <c r="M664" s="2"/>
      <c r="N664" s="2"/>
      <c r="AN664" s="2"/>
    </row>
    <row r="665" spans="10:40" ht="12.6">
      <c r="J665" s="2"/>
      <c r="K665" s="2"/>
      <c r="L665" s="2"/>
      <c r="M665" s="2"/>
      <c r="N665" s="2"/>
      <c r="AN665" s="2"/>
    </row>
    <row r="666" spans="10:40" ht="12.6">
      <c r="J666" s="2"/>
      <c r="K666" s="2"/>
      <c r="L666" s="2"/>
      <c r="M666" s="2"/>
      <c r="N666" s="2"/>
      <c r="AN666" s="2"/>
    </row>
    <row r="667" spans="10:40" ht="12.6">
      <c r="J667" s="2"/>
      <c r="K667" s="2"/>
      <c r="L667" s="2"/>
      <c r="M667" s="2"/>
      <c r="N667" s="2"/>
      <c r="AN667" s="2"/>
    </row>
    <row r="668" spans="10:40" ht="12.6">
      <c r="J668" s="2"/>
      <c r="K668" s="2"/>
      <c r="L668" s="2"/>
      <c r="M668" s="2"/>
      <c r="N668" s="2"/>
      <c r="AN668" s="2"/>
    </row>
    <row r="669" spans="10:40" ht="12.6">
      <c r="J669" s="2"/>
      <c r="K669" s="2"/>
      <c r="L669" s="2"/>
      <c r="M669" s="2"/>
      <c r="N669" s="2"/>
      <c r="AN669" s="2"/>
    </row>
    <row r="670" spans="10:40" ht="12.6">
      <c r="J670" s="2"/>
      <c r="K670" s="2"/>
      <c r="L670" s="2"/>
      <c r="M670" s="2"/>
      <c r="N670" s="2"/>
      <c r="AN670" s="2"/>
    </row>
    <row r="671" spans="10:40" ht="12.6">
      <c r="J671" s="2"/>
      <c r="K671" s="2"/>
      <c r="L671" s="2"/>
      <c r="M671" s="2"/>
      <c r="N671" s="2"/>
      <c r="AN671" s="2"/>
    </row>
    <row r="672" spans="10:40" ht="12.6">
      <c r="J672" s="2"/>
      <c r="K672" s="2"/>
      <c r="L672" s="2"/>
      <c r="M672" s="2"/>
      <c r="N672" s="2"/>
      <c r="AN672" s="2"/>
    </row>
    <row r="673" spans="10:40" ht="12.6">
      <c r="J673" s="2"/>
      <c r="K673" s="2"/>
      <c r="L673" s="2"/>
      <c r="M673" s="2"/>
      <c r="N673" s="2"/>
      <c r="AN673" s="2"/>
    </row>
    <row r="674" spans="10:40" ht="12.6">
      <c r="J674" s="2"/>
      <c r="K674" s="2"/>
      <c r="L674" s="2"/>
      <c r="M674" s="2"/>
      <c r="N674" s="2"/>
      <c r="AN674" s="2"/>
    </row>
    <row r="675" spans="10:40" ht="12.6">
      <c r="J675" s="2"/>
      <c r="K675" s="2"/>
      <c r="L675" s="2"/>
      <c r="M675" s="2"/>
      <c r="N675" s="2"/>
      <c r="AN675" s="2"/>
    </row>
    <row r="676" spans="10:40" ht="12.6">
      <c r="J676" s="2"/>
      <c r="K676" s="2"/>
      <c r="L676" s="2"/>
      <c r="M676" s="2"/>
      <c r="N676" s="2"/>
      <c r="AN676" s="2"/>
    </row>
    <row r="677" spans="10:40" ht="12.6">
      <c r="J677" s="2"/>
      <c r="K677" s="2"/>
      <c r="L677" s="2"/>
      <c r="M677" s="2"/>
      <c r="N677" s="2"/>
      <c r="AN677" s="2"/>
    </row>
    <row r="678" spans="10:40" ht="12.6">
      <c r="J678" s="2"/>
      <c r="K678" s="2"/>
      <c r="L678" s="2"/>
      <c r="M678" s="2"/>
      <c r="N678" s="2"/>
      <c r="AN678" s="2"/>
    </row>
    <row r="679" spans="10:40" ht="12.6">
      <c r="J679" s="2"/>
      <c r="K679" s="2"/>
      <c r="L679" s="2"/>
      <c r="M679" s="2"/>
      <c r="N679" s="2"/>
      <c r="AN679" s="2"/>
    </row>
    <row r="680" spans="10:40" ht="12.6">
      <c r="J680" s="2"/>
      <c r="K680" s="2"/>
      <c r="L680" s="2"/>
      <c r="M680" s="2"/>
      <c r="N680" s="2"/>
      <c r="AN680" s="2"/>
    </row>
    <row r="681" spans="10:40" ht="12.6">
      <c r="J681" s="2"/>
      <c r="K681" s="2"/>
      <c r="L681" s="2"/>
      <c r="M681" s="2"/>
      <c r="N681" s="2"/>
      <c r="AN681" s="2"/>
    </row>
    <row r="682" spans="10:40" ht="12.6">
      <c r="J682" s="2"/>
      <c r="K682" s="2"/>
      <c r="L682" s="2"/>
      <c r="M682" s="2"/>
      <c r="N682" s="2"/>
      <c r="AN682" s="2"/>
    </row>
    <row r="683" spans="10:40" ht="12.6">
      <c r="J683" s="2"/>
      <c r="K683" s="2"/>
      <c r="L683" s="2"/>
      <c r="M683" s="2"/>
      <c r="N683" s="2"/>
      <c r="AN683" s="2"/>
    </row>
    <row r="684" spans="10:40" ht="12.6">
      <c r="J684" s="2"/>
      <c r="K684" s="2"/>
      <c r="L684" s="2"/>
      <c r="M684" s="2"/>
      <c r="N684" s="2"/>
      <c r="AN684" s="2"/>
    </row>
    <row r="685" spans="10:40" ht="12.6">
      <c r="J685" s="2"/>
      <c r="K685" s="2"/>
      <c r="L685" s="2"/>
      <c r="M685" s="2"/>
      <c r="N685" s="2"/>
      <c r="AN685" s="2"/>
    </row>
    <row r="686" spans="10:40" ht="12.6">
      <c r="J686" s="2"/>
      <c r="K686" s="2"/>
      <c r="L686" s="2"/>
      <c r="M686" s="2"/>
      <c r="N686" s="2"/>
      <c r="AN686" s="2"/>
    </row>
    <row r="687" spans="10:40" ht="12.6">
      <c r="J687" s="2"/>
      <c r="K687" s="2"/>
      <c r="L687" s="2"/>
      <c r="M687" s="2"/>
      <c r="N687" s="2"/>
      <c r="AN687" s="2"/>
    </row>
    <row r="688" spans="10:40" ht="12.6">
      <c r="J688" s="2"/>
      <c r="K688" s="2"/>
      <c r="L688" s="2"/>
      <c r="M688" s="2"/>
      <c r="N688" s="2"/>
      <c r="AN688" s="2"/>
    </row>
    <row r="689" spans="10:40" ht="12.6">
      <c r="J689" s="2"/>
      <c r="K689" s="2"/>
      <c r="L689" s="2"/>
      <c r="M689" s="2"/>
      <c r="N689" s="2"/>
      <c r="AN689" s="2"/>
    </row>
    <row r="690" spans="10:40" ht="12.6">
      <c r="J690" s="2"/>
      <c r="K690" s="2"/>
      <c r="L690" s="2"/>
      <c r="M690" s="2"/>
      <c r="N690" s="2"/>
      <c r="AN690" s="2"/>
    </row>
    <row r="691" spans="10:40" ht="12.6">
      <c r="J691" s="2"/>
      <c r="K691" s="2"/>
      <c r="L691" s="2"/>
      <c r="M691" s="2"/>
      <c r="N691" s="2"/>
      <c r="AN691" s="2"/>
    </row>
    <row r="692" spans="10:40" ht="12.6">
      <c r="J692" s="2"/>
      <c r="K692" s="2"/>
      <c r="L692" s="2"/>
      <c r="M692" s="2"/>
      <c r="N692" s="2"/>
      <c r="AN692" s="2"/>
    </row>
    <row r="693" spans="10:40" ht="12.6">
      <c r="J693" s="2"/>
      <c r="K693" s="2"/>
      <c r="L693" s="2"/>
      <c r="M693" s="2"/>
      <c r="N693" s="2"/>
      <c r="AN693" s="2"/>
    </row>
    <row r="694" spans="10:40" ht="12.6">
      <c r="J694" s="2"/>
      <c r="K694" s="2"/>
      <c r="L694" s="2"/>
      <c r="M694" s="2"/>
      <c r="N694" s="2"/>
      <c r="AN694" s="2"/>
    </row>
    <row r="695" spans="10:40" ht="12.6">
      <c r="J695" s="2"/>
      <c r="K695" s="2"/>
      <c r="L695" s="2"/>
      <c r="M695" s="2"/>
      <c r="N695" s="2"/>
      <c r="AN695" s="2"/>
    </row>
    <row r="696" spans="10:40" ht="12.6">
      <c r="J696" s="2"/>
      <c r="K696" s="2"/>
      <c r="L696" s="2"/>
      <c r="M696" s="2"/>
      <c r="N696" s="2"/>
      <c r="AN696" s="2"/>
    </row>
    <row r="697" spans="10:40" ht="12.6">
      <c r="J697" s="2"/>
      <c r="K697" s="2"/>
      <c r="L697" s="2"/>
      <c r="M697" s="2"/>
      <c r="N697" s="2"/>
      <c r="AN697" s="2"/>
    </row>
    <row r="698" spans="10:40" ht="12.6">
      <c r="J698" s="2"/>
      <c r="K698" s="2"/>
      <c r="L698" s="2"/>
      <c r="M698" s="2"/>
      <c r="N698" s="2"/>
      <c r="AN698" s="2"/>
    </row>
    <row r="699" spans="10:40" ht="12.6">
      <c r="J699" s="2"/>
      <c r="K699" s="2"/>
      <c r="L699" s="2"/>
      <c r="M699" s="2"/>
      <c r="N699" s="2"/>
      <c r="AN699" s="2"/>
    </row>
    <row r="700" spans="10:40" ht="12.6">
      <c r="J700" s="2"/>
      <c r="K700" s="2"/>
      <c r="L700" s="2"/>
      <c r="M700" s="2"/>
      <c r="N700" s="2"/>
      <c r="AN700" s="2"/>
    </row>
    <row r="701" spans="10:40" ht="12.6">
      <c r="J701" s="2"/>
      <c r="K701" s="2"/>
      <c r="L701" s="2"/>
      <c r="M701" s="2"/>
      <c r="N701" s="2"/>
      <c r="AN701" s="2"/>
    </row>
    <row r="702" spans="10:40" ht="12.6">
      <c r="J702" s="2"/>
      <c r="K702" s="2"/>
      <c r="L702" s="2"/>
      <c r="M702" s="2"/>
      <c r="N702" s="2"/>
      <c r="AN702" s="2"/>
    </row>
    <row r="703" spans="10:40" ht="12.6">
      <c r="J703" s="2"/>
      <c r="K703" s="2"/>
      <c r="L703" s="2"/>
      <c r="M703" s="2"/>
      <c r="N703" s="2"/>
      <c r="AN703" s="2"/>
    </row>
    <row r="704" spans="10:40" ht="12.6">
      <c r="J704" s="2"/>
      <c r="K704" s="2"/>
      <c r="L704" s="2"/>
      <c r="M704" s="2"/>
      <c r="N704" s="2"/>
      <c r="AN704" s="2"/>
    </row>
    <row r="705" spans="10:40" ht="12.6">
      <c r="J705" s="2"/>
      <c r="K705" s="2"/>
      <c r="L705" s="2"/>
      <c r="M705" s="2"/>
      <c r="N705" s="2"/>
      <c r="AN705" s="2"/>
    </row>
    <row r="706" spans="10:40" ht="12.6">
      <c r="J706" s="2"/>
      <c r="K706" s="2"/>
      <c r="L706" s="2"/>
      <c r="M706" s="2"/>
      <c r="N706" s="2"/>
      <c r="AN706" s="2"/>
    </row>
    <row r="707" spans="10:40" ht="12.6">
      <c r="J707" s="2"/>
      <c r="K707" s="2"/>
      <c r="L707" s="2"/>
      <c r="M707" s="2"/>
      <c r="N707" s="2"/>
      <c r="AN707" s="2"/>
    </row>
    <row r="708" spans="10:40" ht="12.6">
      <c r="J708" s="2"/>
      <c r="K708" s="2"/>
      <c r="L708" s="2"/>
      <c r="M708" s="2"/>
      <c r="N708" s="2"/>
      <c r="AN708" s="2"/>
    </row>
    <row r="709" spans="10:40" ht="12.6">
      <c r="J709" s="2"/>
      <c r="K709" s="2"/>
      <c r="L709" s="2"/>
      <c r="M709" s="2"/>
      <c r="N709" s="2"/>
      <c r="AN709" s="2"/>
    </row>
    <row r="710" spans="10:40" ht="12.6">
      <c r="J710" s="2"/>
      <c r="K710" s="2"/>
      <c r="L710" s="2"/>
      <c r="M710" s="2"/>
      <c r="N710" s="2"/>
      <c r="AN710" s="2"/>
    </row>
    <row r="711" spans="10:40" ht="12.6">
      <c r="J711" s="2"/>
      <c r="K711" s="2"/>
      <c r="L711" s="2"/>
      <c r="M711" s="2"/>
      <c r="N711" s="2"/>
      <c r="AN711" s="2"/>
    </row>
    <row r="712" spans="10:40" ht="12.6">
      <c r="J712" s="2"/>
      <c r="K712" s="2"/>
      <c r="L712" s="2"/>
      <c r="M712" s="2"/>
      <c r="N712" s="2"/>
      <c r="AN712" s="2"/>
    </row>
    <row r="713" spans="10:40" ht="12.6">
      <c r="J713" s="2"/>
      <c r="K713" s="2"/>
      <c r="L713" s="2"/>
      <c r="M713" s="2"/>
      <c r="N713" s="2"/>
      <c r="AN713" s="2"/>
    </row>
    <row r="714" spans="10:40" ht="12.6">
      <c r="J714" s="2"/>
      <c r="K714" s="2"/>
      <c r="L714" s="2"/>
      <c r="M714" s="2"/>
      <c r="N714" s="2"/>
      <c r="AN714" s="2"/>
    </row>
    <row r="715" spans="10:40" ht="12.6">
      <c r="J715" s="2"/>
      <c r="K715" s="2"/>
      <c r="L715" s="2"/>
      <c r="M715" s="2"/>
      <c r="N715" s="2"/>
      <c r="AN715" s="2"/>
    </row>
    <row r="716" spans="10:40" ht="12.6">
      <c r="J716" s="2"/>
      <c r="K716" s="2"/>
      <c r="L716" s="2"/>
      <c r="M716" s="2"/>
      <c r="N716" s="2"/>
      <c r="AN716" s="2"/>
    </row>
    <row r="717" spans="10:40" ht="12.6">
      <c r="J717" s="2"/>
      <c r="K717" s="2"/>
      <c r="L717" s="2"/>
      <c r="M717" s="2"/>
      <c r="N717" s="2"/>
      <c r="AN717" s="2"/>
    </row>
    <row r="718" spans="10:40" ht="12.6">
      <c r="J718" s="2"/>
      <c r="K718" s="2"/>
      <c r="L718" s="2"/>
      <c r="M718" s="2"/>
      <c r="N718" s="2"/>
      <c r="AN718" s="2"/>
    </row>
    <row r="719" spans="10:40" ht="12.6">
      <c r="J719" s="2"/>
      <c r="K719" s="2"/>
      <c r="L719" s="2"/>
      <c r="M719" s="2"/>
      <c r="N719" s="2"/>
      <c r="AN719" s="2"/>
    </row>
    <row r="720" spans="10:40" ht="12.6">
      <c r="J720" s="2"/>
      <c r="K720" s="2"/>
      <c r="L720" s="2"/>
      <c r="M720" s="2"/>
      <c r="N720" s="2"/>
      <c r="AN720" s="2"/>
    </row>
    <row r="721" spans="10:40" ht="12.6">
      <c r="J721" s="2"/>
      <c r="K721" s="2"/>
      <c r="L721" s="2"/>
      <c r="M721" s="2"/>
      <c r="N721" s="2"/>
      <c r="AN721" s="2"/>
    </row>
    <row r="722" spans="10:40" ht="12.6">
      <c r="J722" s="2"/>
      <c r="K722" s="2"/>
      <c r="L722" s="2"/>
      <c r="M722" s="2"/>
      <c r="N722" s="2"/>
      <c r="AN722" s="2"/>
    </row>
    <row r="723" spans="10:40" ht="12.6">
      <c r="J723" s="2"/>
      <c r="K723" s="2"/>
      <c r="L723" s="2"/>
      <c r="M723" s="2"/>
      <c r="N723" s="2"/>
      <c r="AN723" s="2"/>
    </row>
    <row r="724" spans="10:40" ht="12.6">
      <c r="J724" s="2"/>
      <c r="K724" s="2"/>
      <c r="L724" s="2"/>
      <c r="M724" s="2"/>
      <c r="N724" s="2"/>
      <c r="AN724" s="2"/>
    </row>
    <row r="725" spans="10:40" ht="12.6">
      <c r="J725" s="2"/>
      <c r="K725" s="2"/>
      <c r="L725" s="2"/>
      <c r="M725" s="2"/>
      <c r="N725" s="2"/>
      <c r="AN725" s="2"/>
    </row>
    <row r="726" spans="10:40" ht="12.6">
      <c r="J726" s="2"/>
      <c r="K726" s="2"/>
      <c r="L726" s="2"/>
      <c r="M726" s="2"/>
      <c r="N726" s="2"/>
      <c r="AN726" s="2"/>
    </row>
    <row r="727" spans="10:40" ht="12.6">
      <c r="J727" s="2"/>
      <c r="K727" s="2"/>
      <c r="L727" s="2"/>
      <c r="M727" s="2"/>
      <c r="N727" s="2"/>
      <c r="AN727" s="2"/>
    </row>
    <row r="728" spans="10:40" ht="12.6">
      <c r="J728" s="2"/>
      <c r="K728" s="2"/>
      <c r="L728" s="2"/>
      <c r="M728" s="2"/>
      <c r="N728" s="2"/>
      <c r="AN728" s="2"/>
    </row>
    <row r="729" spans="10:40" ht="12.6">
      <c r="J729" s="2"/>
      <c r="K729" s="2"/>
      <c r="L729" s="2"/>
      <c r="M729" s="2"/>
      <c r="N729" s="2"/>
      <c r="AN729" s="2"/>
    </row>
    <row r="730" spans="10:40" ht="12.6">
      <c r="J730" s="2"/>
      <c r="K730" s="2"/>
      <c r="L730" s="2"/>
      <c r="M730" s="2"/>
      <c r="N730" s="2"/>
      <c r="AN730" s="2"/>
    </row>
    <row r="731" spans="10:40" ht="12.6">
      <c r="J731" s="2"/>
      <c r="K731" s="2"/>
      <c r="L731" s="2"/>
      <c r="M731" s="2"/>
      <c r="N731" s="2"/>
      <c r="AN731" s="2"/>
    </row>
    <row r="732" spans="10:40" ht="12.6">
      <c r="J732" s="2"/>
      <c r="K732" s="2"/>
      <c r="L732" s="2"/>
      <c r="M732" s="2"/>
      <c r="N732" s="2"/>
      <c r="AN732" s="2"/>
    </row>
    <row r="733" spans="10:40" ht="12.6">
      <c r="J733" s="2"/>
      <c r="K733" s="2"/>
      <c r="L733" s="2"/>
      <c r="M733" s="2"/>
      <c r="N733" s="2"/>
      <c r="AN733" s="2"/>
    </row>
    <row r="734" spans="10:40" ht="12.6">
      <c r="J734" s="2"/>
      <c r="K734" s="2"/>
      <c r="L734" s="2"/>
      <c r="M734" s="2"/>
      <c r="N734" s="2"/>
      <c r="AN734" s="2"/>
    </row>
    <row r="735" spans="10:40" ht="12.6">
      <c r="J735" s="2"/>
      <c r="K735" s="2"/>
      <c r="L735" s="2"/>
      <c r="M735" s="2"/>
      <c r="N735" s="2"/>
      <c r="AN735" s="2"/>
    </row>
    <row r="736" spans="10:40" ht="12.6">
      <c r="J736" s="2"/>
      <c r="K736" s="2"/>
      <c r="L736" s="2"/>
      <c r="M736" s="2"/>
      <c r="N736" s="2"/>
      <c r="AN736" s="2"/>
    </row>
    <row r="737" spans="10:40" ht="12.6">
      <c r="J737" s="2"/>
      <c r="K737" s="2"/>
      <c r="L737" s="2"/>
      <c r="M737" s="2"/>
      <c r="N737" s="2"/>
      <c r="AN737" s="2"/>
    </row>
    <row r="738" spans="10:40" ht="12.6">
      <c r="J738" s="2"/>
      <c r="K738" s="2"/>
      <c r="L738" s="2"/>
      <c r="M738" s="2"/>
      <c r="N738" s="2"/>
      <c r="AN738" s="2"/>
    </row>
    <row r="739" spans="10:40" ht="12.6">
      <c r="J739" s="2"/>
      <c r="K739" s="2"/>
      <c r="L739" s="2"/>
      <c r="M739" s="2"/>
      <c r="N739" s="2"/>
      <c r="AN739" s="2"/>
    </row>
    <row r="740" spans="10:40" ht="12.6">
      <c r="J740" s="2"/>
      <c r="K740" s="2"/>
      <c r="L740" s="2"/>
      <c r="M740" s="2"/>
      <c r="N740" s="2"/>
      <c r="AN740" s="2"/>
    </row>
    <row r="741" spans="10:40" ht="12.6">
      <c r="J741" s="2"/>
      <c r="K741" s="2"/>
      <c r="L741" s="2"/>
      <c r="M741" s="2"/>
      <c r="N741" s="2"/>
      <c r="AN741" s="2"/>
    </row>
    <row r="742" spans="10:40" ht="12.6">
      <c r="J742" s="2"/>
      <c r="K742" s="2"/>
      <c r="L742" s="2"/>
      <c r="M742" s="2"/>
      <c r="N742" s="2"/>
      <c r="AN742" s="2"/>
    </row>
    <row r="743" spans="10:40" ht="12.6">
      <c r="J743" s="2"/>
      <c r="K743" s="2"/>
      <c r="L743" s="2"/>
      <c r="M743" s="2"/>
      <c r="N743" s="2"/>
      <c r="AN743" s="2"/>
    </row>
    <row r="744" spans="10:40" ht="12.6">
      <c r="J744" s="2"/>
      <c r="K744" s="2"/>
      <c r="L744" s="2"/>
      <c r="M744" s="2"/>
      <c r="N744" s="2"/>
      <c r="AN744" s="2"/>
    </row>
    <row r="745" spans="10:40" ht="12.6">
      <c r="J745" s="2"/>
      <c r="K745" s="2"/>
      <c r="L745" s="2"/>
      <c r="M745" s="2"/>
      <c r="N745" s="2"/>
      <c r="AN745" s="2"/>
    </row>
    <row r="746" spans="10:40" ht="12.6">
      <c r="J746" s="2"/>
      <c r="K746" s="2"/>
      <c r="L746" s="2"/>
      <c r="M746" s="2"/>
      <c r="N746" s="2"/>
      <c r="AN746" s="2"/>
    </row>
    <row r="747" spans="10:40" ht="12.6">
      <c r="J747" s="2"/>
      <c r="K747" s="2"/>
      <c r="L747" s="2"/>
      <c r="M747" s="2"/>
      <c r="N747" s="2"/>
      <c r="AN747" s="2"/>
    </row>
    <row r="748" spans="10:40" ht="12.6">
      <c r="J748" s="2"/>
      <c r="K748" s="2"/>
      <c r="L748" s="2"/>
      <c r="M748" s="2"/>
      <c r="N748" s="2"/>
      <c r="AN748" s="2"/>
    </row>
    <row r="749" spans="10:40" ht="12.6">
      <c r="J749" s="2"/>
      <c r="K749" s="2"/>
      <c r="L749" s="2"/>
      <c r="M749" s="2"/>
      <c r="N749" s="2"/>
      <c r="AN749" s="2"/>
    </row>
    <row r="750" spans="10:40" ht="12.6">
      <c r="J750" s="2"/>
      <c r="K750" s="2"/>
      <c r="L750" s="2"/>
      <c r="M750" s="2"/>
      <c r="N750" s="2"/>
      <c r="AN750" s="2"/>
    </row>
    <row r="751" spans="10:40" ht="12.6">
      <c r="J751" s="2"/>
      <c r="K751" s="2"/>
      <c r="L751" s="2"/>
      <c r="M751" s="2"/>
      <c r="N751" s="2"/>
      <c r="AN751" s="2"/>
    </row>
    <row r="752" spans="10:40" ht="12.6">
      <c r="J752" s="2"/>
      <c r="K752" s="2"/>
      <c r="L752" s="2"/>
      <c r="M752" s="2"/>
      <c r="N752" s="2"/>
      <c r="AN752" s="2"/>
    </row>
    <row r="753" spans="10:40" ht="12.6">
      <c r="J753" s="2"/>
      <c r="K753" s="2"/>
      <c r="L753" s="2"/>
      <c r="M753" s="2"/>
      <c r="N753" s="2"/>
      <c r="AN753" s="2"/>
    </row>
    <row r="754" spans="10:40" ht="12.6">
      <c r="J754" s="2"/>
      <c r="K754" s="2"/>
      <c r="L754" s="2"/>
      <c r="M754" s="2"/>
      <c r="N754" s="2"/>
      <c r="AN754" s="2"/>
    </row>
    <row r="755" spans="10:40" ht="12.6">
      <c r="J755" s="2"/>
      <c r="K755" s="2"/>
      <c r="L755" s="2"/>
      <c r="M755" s="2"/>
      <c r="N755" s="2"/>
      <c r="AN755" s="2"/>
    </row>
    <row r="756" spans="10:40" ht="12.6">
      <c r="J756" s="2"/>
      <c r="K756" s="2"/>
      <c r="L756" s="2"/>
      <c r="M756" s="2"/>
      <c r="N756" s="2"/>
      <c r="AN756" s="2"/>
    </row>
    <row r="757" spans="10:40" ht="12.6">
      <c r="J757" s="2"/>
      <c r="K757" s="2"/>
      <c r="L757" s="2"/>
      <c r="M757" s="2"/>
      <c r="N757" s="2"/>
      <c r="AN757" s="2"/>
    </row>
    <row r="758" spans="10:40" ht="12.6">
      <c r="J758" s="2"/>
      <c r="K758" s="2"/>
      <c r="L758" s="2"/>
      <c r="M758" s="2"/>
      <c r="N758" s="2"/>
      <c r="AN758" s="2"/>
    </row>
    <row r="759" spans="10:40" ht="12.6">
      <c r="J759" s="2"/>
      <c r="K759" s="2"/>
      <c r="L759" s="2"/>
      <c r="M759" s="2"/>
      <c r="N759" s="2"/>
      <c r="AN759" s="2"/>
    </row>
    <row r="760" spans="10:40" ht="12.6">
      <c r="J760" s="2"/>
      <c r="K760" s="2"/>
      <c r="L760" s="2"/>
      <c r="M760" s="2"/>
      <c r="N760" s="2"/>
      <c r="AN760" s="2"/>
    </row>
    <row r="761" spans="10:40" ht="12.6">
      <c r="J761" s="2"/>
      <c r="K761" s="2"/>
      <c r="L761" s="2"/>
      <c r="M761" s="2"/>
      <c r="N761" s="2"/>
      <c r="AN761" s="2"/>
    </row>
    <row r="762" spans="10:40" ht="12.6">
      <c r="J762" s="2"/>
      <c r="K762" s="2"/>
      <c r="L762" s="2"/>
      <c r="M762" s="2"/>
      <c r="N762" s="2"/>
      <c r="AN762" s="2"/>
    </row>
    <row r="763" spans="10:40" ht="12.6">
      <c r="J763" s="2"/>
      <c r="K763" s="2"/>
      <c r="L763" s="2"/>
      <c r="M763" s="2"/>
      <c r="N763" s="2"/>
      <c r="AN763" s="2"/>
    </row>
    <row r="764" spans="10:40" ht="12.6">
      <c r="J764" s="2"/>
      <c r="K764" s="2"/>
      <c r="L764" s="2"/>
      <c r="M764" s="2"/>
      <c r="N764" s="2"/>
      <c r="AN764" s="2"/>
    </row>
    <row r="765" spans="10:40" ht="12.6">
      <c r="J765" s="2"/>
      <c r="K765" s="2"/>
      <c r="L765" s="2"/>
      <c r="M765" s="2"/>
      <c r="N765" s="2"/>
      <c r="AN765" s="2"/>
    </row>
    <row r="766" spans="10:40" ht="12.6">
      <c r="J766" s="2"/>
      <c r="K766" s="2"/>
      <c r="L766" s="2"/>
      <c r="M766" s="2"/>
      <c r="N766" s="2"/>
      <c r="AN766" s="2"/>
    </row>
    <row r="767" spans="10:40" ht="12.6">
      <c r="J767" s="2"/>
      <c r="K767" s="2"/>
      <c r="L767" s="2"/>
      <c r="M767" s="2"/>
      <c r="N767" s="2"/>
      <c r="AN767" s="2"/>
    </row>
    <row r="768" spans="10:40" ht="12.6">
      <c r="J768" s="2"/>
      <c r="K768" s="2"/>
      <c r="L768" s="2"/>
      <c r="M768" s="2"/>
      <c r="N768" s="2"/>
      <c r="AN768" s="2"/>
    </row>
    <row r="769" spans="10:40" ht="12.6">
      <c r="J769" s="2"/>
      <c r="K769" s="2"/>
      <c r="L769" s="2"/>
      <c r="M769" s="2"/>
      <c r="N769" s="2"/>
      <c r="AN769" s="2"/>
    </row>
    <row r="770" spans="10:40" ht="12.6">
      <c r="J770" s="2"/>
      <c r="K770" s="2"/>
      <c r="L770" s="2"/>
      <c r="M770" s="2"/>
      <c r="N770" s="2"/>
      <c r="AN770" s="2"/>
    </row>
    <row r="771" spans="10:40" ht="12.6">
      <c r="J771" s="2"/>
      <c r="K771" s="2"/>
      <c r="L771" s="2"/>
      <c r="M771" s="2"/>
      <c r="N771" s="2"/>
      <c r="AN771" s="2"/>
    </row>
    <row r="772" spans="10:40" ht="12.6">
      <c r="J772" s="2"/>
      <c r="K772" s="2"/>
      <c r="L772" s="2"/>
      <c r="M772" s="2"/>
      <c r="N772" s="2"/>
      <c r="AN772" s="2"/>
    </row>
    <row r="773" spans="10:40" ht="12.6">
      <c r="J773" s="2"/>
      <c r="K773" s="2"/>
      <c r="L773" s="2"/>
      <c r="M773" s="2"/>
      <c r="N773" s="2"/>
      <c r="AN773" s="2"/>
    </row>
    <row r="774" spans="10:40" ht="12.6">
      <c r="J774" s="2"/>
      <c r="K774" s="2"/>
      <c r="L774" s="2"/>
      <c r="M774" s="2"/>
      <c r="N774" s="2"/>
      <c r="AN774" s="2"/>
    </row>
    <row r="775" spans="10:40" ht="12.6">
      <c r="J775" s="2"/>
      <c r="K775" s="2"/>
      <c r="L775" s="2"/>
      <c r="M775" s="2"/>
      <c r="N775" s="2"/>
      <c r="AN775" s="2"/>
    </row>
    <row r="776" spans="10:40" ht="12.6">
      <c r="J776" s="2"/>
      <c r="K776" s="2"/>
      <c r="L776" s="2"/>
      <c r="M776" s="2"/>
      <c r="N776" s="2"/>
      <c r="AN776" s="2"/>
    </row>
    <row r="777" spans="10:40" ht="12.6">
      <c r="J777" s="2"/>
      <c r="K777" s="2"/>
      <c r="L777" s="2"/>
      <c r="M777" s="2"/>
      <c r="N777" s="2"/>
      <c r="AN777" s="2"/>
    </row>
    <row r="778" spans="10:40" ht="12.6">
      <c r="J778" s="2"/>
      <c r="K778" s="2"/>
      <c r="L778" s="2"/>
      <c r="M778" s="2"/>
      <c r="N778" s="2"/>
      <c r="AN778" s="2"/>
    </row>
    <row r="779" spans="10:40" ht="12.6">
      <c r="J779" s="2"/>
      <c r="K779" s="2"/>
      <c r="L779" s="2"/>
      <c r="M779" s="2"/>
      <c r="N779" s="2"/>
      <c r="AN779" s="2"/>
    </row>
    <row r="780" spans="10:40" ht="12.6">
      <c r="J780" s="2"/>
      <c r="K780" s="2"/>
      <c r="L780" s="2"/>
      <c r="M780" s="2"/>
      <c r="N780" s="2"/>
      <c r="AN780" s="2"/>
    </row>
    <row r="781" spans="10:40" ht="12.6">
      <c r="J781" s="2"/>
      <c r="K781" s="2"/>
      <c r="L781" s="2"/>
      <c r="M781" s="2"/>
      <c r="N781" s="2"/>
      <c r="AN781" s="2"/>
    </row>
    <row r="782" spans="10:40" ht="12.6">
      <c r="J782" s="2"/>
      <c r="K782" s="2"/>
      <c r="L782" s="2"/>
      <c r="M782" s="2"/>
      <c r="N782" s="2"/>
      <c r="AN782" s="2"/>
    </row>
    <row r="783" spans="10:40" ht="12.6">
      <c r="J783" s="2"/>
      <c r="K783" s="2"/>
      <c r="L783" s="2"/>
      <c r="M783" s="2"/>
      <c r="N783" s="2"/>
      <c r="AN783" s="2"/>
    </row>
    <row r="784" spans="10:40" ht="12.6">
      <c r="J784" s="2"/>
      <c r="K784" s="2"/>
      <c r="L784" s="2"/>
      <c r="M784" s="2"/>
      <c r="N784" s="2"/>
      <c r="AN784" s="2"/>
    </row>
    <row r="785" spans="10:40" ht="12.6">
      <c r="J785" s="2"/>
      <c r="K785" s="2"/>
      <c r="L785" s="2"/>
      <c r="M785" s="2"/>
      <c r="N785" s="2"/>
      <c r="AN785" s="2"/>
    </row>
    <row r="786" spans="10:40" ht="12.6">
      <c r="J786" s="2"/>
      <c r="K786" s="2"/>
      <c r="L786" s="2"/>
      <c r="M786" s="2"/>
      <c r="N786" s="2"/>
      <c r="AN786" s="2"/>
    </row>
    <row r="787" spans="10:40" ht="12.6">
      <c r="J787" s="2"/>
      <c r="K787" s="2"/>
      <c r="L787" s="2"/>
      <c r="M787" s="2"/>
      <c r="N787" s="2"/>
      <c r="AN787" s="2"/>
    </row>
    <row r="788" spans="10:40" ht="12.6">
      <c r="J788" s="2"/>
      <c r="K788" s="2"/>
      <c r="L788" s="2"/>
      <c r="M788" s="2"/>
      <c r="N788" s="2"/>
      <c r="AN788" s="2"/>
    </row>
    <row r="789" spans="10:40" ht="12.6">
      <c r="J789" s="2"/>
      <c r="K789" s="2"/>
      <c r="L789" s="2"/>
      <c r="M789" s="2"/>
      <c r="N789" s="2"/>
      <c r="AN789" s="2"/>
    </row>
    <row r="790" spans="10:40" ht="12.6">
      <c r="J790" s="2"/>
      <c r="K790" s="2"/>
      <c r="L790" s="2"/>
      <c r="M790" s="2"/>
      <c r="N790" s="2"/>
      <c r="AN790" s="2"/>
    </row>
    <row r="791" spans="10:40" ht="12.6">
      <c r="J791" s="2"/>
      <c r="K791" s="2"/>
      <c r="L791" s="2"/>
      <c r="M791" s="2"/>
      <c r="N791" s="2"/>
      <c r="AN791" s="2"/>
    </row>
    <row r="792" spans="10:40" ht="12.6">
      <c r="J792" s="2"/>
      <c r="K792" s="2"/>
      <c r="L792" s="2"/>
      <c r="M792" s="2"/>
      <c r="N792" s="2"/>
      <c r="AN792" s="2"/>
    </row>
    <row r="793" spans="10:40" ht="12.6">
      <c r="J793" s="2"/>
      <c r="K793" s="2"/>
      <c r="L793" s="2"/>
      <c r="M793" s="2"/>
      <c r="N793" s="2"/>
      <c r="AN793" s="2"/>
    </row>
    <row r="794" spans="10:40" ht="12.6">
      <c r="J794" s="2"/>
      <c r="K794" s="2"/>
      <c r="L794" s="2"/>
      <c r="M794" s="2"/>
      <c r="N794" s="2"/>
      <c r="AN794" s="2"/>
    </row>
    <row r="795" spans="10:40" ht="12.6">
      <c r="J795" s="2"/>
      <c r="K795" s="2"/>
      <c r="L795" s="2"/>
      <c r="M795" s="2"/>
      <c r="N795" s="2"/>
      <c r="AN795" s="2"/>
    </row>
    <row r="796" spans="10:40" ht="12.6">
      <c r="J796" s="2"/>
      <c r="K796" s="2"/>
      <c r="L796" s="2"/>
      <c r="M796" s="2"/>
      <c r="N796" s="2"/>
      <c r="AN796" s="2"/>
    </row>
    <row r="797" spans="10:40" ht="12.6">
      <c r="J797" s="2"/>
      <c r="K797" s="2"/>
      <c r="L797" s="2"/>
      <c r="M797" s="2"/>
      <c r="N797" s="2"/>
      <c r="AN797" s="2"/>
    </row>
    <row r="798" spans="10:40" ht="12.6">
      <c r="J798" s="2"/>
      <c r="K798" s="2"/>
      <c r="L798" s="2"/>
      <c r="M798" s="2"/>
      <c r="N798" s="2"/>
      <c r="AN798" s="2"/>
    </row>
    <row r="799" spans="10:40" ht="12.6">
      <c r="J799" s="2"/>
      <c r="K799" s="2"/>
      <c r="L799" s="2"/>
      <c r="M799" s="2"/>
      <c r="N799" s="2"/>
      <c r="AN799" s="2"/>
    </row>
    <row r="800" spans="10:40" ht="12.6">
      <c r="J800" s="2"/>
      <c r="K800" s="2"/>
      <c r="L800" s="2"/>
      <c r="M800" s="2"/>
      <c r="N800" s="2"/>
      <c r="AN800" s="2"/>
    </row>
    <row r="801" spans="10:40" ht="12.6">
      <c r="J801" s="2"/>
      <c r="K801" s="2"/>
      <c r="L801" s="2"/>
      <c r="M801" s="2"/>
      <c r="N801" s="2"/>
      <c r="AN801" s="2"/>
    </row>
    <row r="802" spans="10:40" ht="12.6">
      <c r="J802" s="2"/>
      <c r="K802" s="2"/>
      <c r="L802" s="2"/>
      <c r="M802" s="2"/>
      <c r="N802" s="2"/>
      <c r="AN802" s="2"/>
    </row>
    <row r="803" spans="10:40" ht="12.6">
      <c r="J803" s="2"/>
      <c r="K803" s="2"/>
      <c r="L803" s="2"/>
      <c r="M803" s="2"/>
      <c r="N803" s="2"/>
      <c r="AN803" s="2"/>
    </row>
    <row r="804" spans="10:40" ht="12.6">
      <c r="J804" s="2"/>
      <c r="K804" s="2"/>
      <c r="L804" s="2"/>
      <c r="M804" s="2"/>
      <c r="N804" s="2"/>
      <c r="AN804" s="2"/>
    </row>
    <row r="805" spans="10:40" ht="12.6">
      <c r="J805" s="2"/>
      <c r="K805" s="2"/>
      <c r="L805" s="2"/>
      <c r="M805" s="2"/>
      <c r="N805" s="2"/>
      <c r="AN805" s="2"/>
    </row>
    <row r="806" spans="10:40" ht="12.6">
      <c r="J806" s="2"/>
      <c r="K806" s="2"/>
      <c r="L806" s="2"/>
      <c r="M806" s="2"/>
      <c r="N806" s="2"/>
      <c r="AN806" s="2"/>
    </row>
    <row r="807" spans="10:40" ht="12.6">
      <c r="J807" s="2"/>
      <c r="K807" s="2"/>
      <c r="L807" s="2"/>
      <c r="M807" s="2"/>
      <c r="N807" s="2"/>
      <c r="AN807" s="2"/>
    </row>
    <row r="808" spans="10:40" ht="12.6">
      <c r="J808" s="2"/>
      <c r="K808" s="2"/>
      <c r="L808" s="2"/>
      <c r="M808" s="2"/>
      <c r="N808" s="2"/>
      <c r="AN808" s="2"/>
    </row>
    <row r="809" spans="10:40" ht="12.6">
      <c r="J809" s="2"/>
      <c r="K809" s="2"/>
      <c r="L809" s="2"/>
      <c r="M809" s="2"/>
      <c r="N809" s="2"/>
      <c r="AN809" s="2"/>
    </row>
    <row r="810" spans="10:40" ht="12.6">
      <c r="J810" s="2"/>
      <c r="K810" s="2"/>
      <c r="L810" s="2"/>
      <c r="M810" s="2"/>
      <c r="N810" s="2"/>
      <c r="AN810" s="2"/>
    </row>
    <row r="811" spans="10:40" ht="12.6">
      <c r="J811" s="2"/>
      <c r="K811" s="2"/>
      <c r="L811" s="2"/>
      <c r="M811" s="2"/>
      <c r="N811" s="2"/>
      <c r="AN811" s="2"/>
    </row>
    <row r="812" spans="10:40" ht="12.6">
      <c r="J812" s="2"/>
      <c r="K812" s="2"/>
      <c r="L812" s="2"/>
      <c r="M812" s="2"/>
      <c r="N812" s="2"/>
      <c r="AN812" s="2"/>
    </row>
    <row r="813" spans="10:40" ht="12.6">
      <c r="J813" s="2"/>
      <c r="K813" s="2"/>
      <c r="L813" s="2"/>
      <c r="M813" s="2"/>
      <c r="N813" s="2"/>
      <c r="AN813" s="2"/>
    </row>
    <row r="814" spans="10:40" ht="12.6">
      <c r="J814" s="2"/>
      <c r="K814" s="2"/>
      <c r="L814" s="2"/>
      <c r="M814" s="2"/>
      <c r="N814" s="2"/>
      <c r="AN814" s="2"/>
    </row>
    <row r="815" spans="10:40" ht="12.6">
      <c r="J815" s="2"/>
      <c r="K815" s="2"/>
      <c r="L815" s="2"/>
      <c r="M815" s="2"/>
      <c r="N815" s="2"/>
      <c r="AN815" s="2"/>
    </row>
    <row r="816" spans="10:40" ht="12.6">
      <c r="J816" s="2"/>
      <c r="K816" s="2"/>
      <c r="L816" s="2"/>
      <c r="M816" s="2"/>
      <c r="N816" s="2"/>
      <c r="AN816" s="2"/>
    </row>
    <row r="817" spans="10:40" ht="12.6">
      <c r="J817" s="2"/>
      <c r="K817" s="2"/>
      <c r="L817" s="2"/>
      <c r="M817" s="2"/>
      <c r="N817" s="2"/>
      <c r="AN817" s="2"/>
    </row>
    <row r="818" spans="10:40" ht="12.6">
      <c r="J818" s="2"/>
      <c r="K818" s="2"/>
      <c r="L818" s="2"/>
      <c r="M818" s="2"/>
      <c r="N818" s="2"/>
      <c r="AN818" s="2"/>
    </row>
    <row r="819" spans="10:40" ht="12.6">
      <c r="J819" s="2"/>
      <c r="K819" s="2"/>
      <c r="L819" s="2"/>
      <c r="M819" s="2"/>
      <c r="N819" s="2"/>
      <c r="AN819" s="2"/>
    </row>
    <row r="820" spans="10:40" ht="12.6">
      <c r="J820" s="2"/>
      <c r="K820" s="2"/>
      <c r="L820" s="2"/>
      <c r="M820" s="2"/>
      <c r="N820" s="2"/>
      <c r="AN820" s="2"/>
    </row>
    <row r="821" spans="10:40" ht="12.6">
      <c r="J821" s="2"/>
      <c r="K821" s="2"/>
      <c r="L821" s="2"/>
      <c r="M821" s="2"/>
      <c r="N821" s="2"/>
      <c r="AN821" s="2"/>
    </row>
    <row r="822" spans="10:40" ht="12.6">
      <c r="J822" s="2"/>
      <c r="K822" s="2"/>
      <c r="L822" s="2"/>
      <c r="M822" s="2"/>
      <c r="N822" s="2"/>
      <c r="AN822" s="2"/>
    </row>
    <row r="823" spans="10:40" ht="12.6">
      <c r="J823" s="2"/>
      <c r="K823" s="2"/>
      <c r="L823" s="2"/>
      <c r="M823" s="2"/>
      <c r="N823" s="2"/>
      <c r="AN823" s="2"/>
    </row>
    <row r="824" spans="10:40" ht="12.6">
      <c r="J824" s="2"/>
      <c r="K824" s="2"/>
      <c r="L824" s="2"/>
      <c r="M824" s="2"/>
      <c r="N824" s="2"/>
      <c r="AN824" s="2"/>
    </row>
    <row r="825" spans="10:40" ht="12.6">
      <c r="J825" s="2"/>
      <c r="K825" s="2"/>
      <c r="L825" s="2"/>
      <c r="M825" s="2"/>
      <c r="N825" s="2"/>
      <c r="AN825" s="2"/>
    </row>
    <row r="826" spans="10:40" ht="12.6">
      <c r="J826" s="2"/>
      <c r="K826" s="2"/>
      <c r="L826" s="2"/>
      <c r="M826" s="2"/>
      <c r="N826" s="2"/>
      <c r="AN826" s="2"/>
    </row>
    <row r="827" spans="10:40" ht="12.6">
      <c r="J827" s="2"/>
      <c r="K827" s="2"/>
      <c r="L827" s="2"/>
      <c r="M827" s="2"/>
      <c r="N827" s="2"/>
      <c r="AN827" s="2"/>
    </row>
    <row r="828" spans="10:40" ht="12.6">
      <c r="J828" s="2"/>
      <c r="K828" s="2"/>
      <c r="L828" s="2"/>
      <c r="M828" s="2"/>
      <c r="N828" s="2"/>
      <c r="AN828" s="2"/>
    </row>
    <row r="829" spans="10:40" ht="12.6">
      <c r="J829" s="2"/>
      <c r="K829" s="2"/>
      <c r="L829" s="2"/>
      <c r="M829" s="2"/>
      <c r="N829" s="2"/>
      <c r="AN829" s="2"/>
    </row>
    <row r="830" spans="10:40" ht="12.6">
      <c r="J830" s="2"/>
      <c r="K830" s="2"/>
      <c r="L830" s="2"/>
      <c r="M830" s="2"/>
      <c r="N830" s="2"/>
      <c r="AN830" s="2"/>
    </row>
    <row r="831" spans="10:40" ht="12.6">
      <c r="J831" s="2"/>
      <c r="K831" s="2"/>
      <c r="L831" s="2"/>
      <c r="M831" s="2"/>
      <c r="N831" s="2"/>
      <c r="AN831" s="2"/>
    </row>
    <row r="832" spans="10:40" ht="12.6">
      <c r="J832" s="2"/>
      <c r="K832" s="2"/>
      <c r="L832" s="2"/>
      <c r="M832" s="2"/>
      <c r="N832" s="2"/>
      <c r="AN832" s="2"/>
    </row>
    <row r="833" spans="10:40" ht="12.6">
      <c r="J833" s="2"/>
      <c r="K833" s="2"/>
      <c r="L833" s="2"/>
      <c r="M833" s="2"/>
      <c r="N833" s="2"/>
      <c r="AN833" s="2"/>
    </row>
    <row r="834" spans="10:40" ht="12.6">
      <c r="J834" s="2"/>
      <c r="K834" s="2"/>
      <c r="L834" s="2"/>
      <c r="M834" s="2"/>
      <c r="N834" s="2"/>
      <c r="AN834" s="2"/>
    </row>
    <row r="835" spans="10:40" ht="12.6">
      <c r="J835" s="2"/>
      <c r="K835" s="2"/>
      <c r="L835" s="2"/>
      <c r="M835" s="2"/>
      <c r="N835" s="2"/>
      <c r="AN835" s="2"/>
    </row>
    <row r="836" spans="10:40" ht="12.6">
      <c r="J836" s="2"/>
      <c r="K836" s="2"/>
      <c r="L836" s="2"/>
      <c r="M836" s="2"/>
      <c r="N836" s="2"/>
      <c r="AN836" s="2"/>
    </row>
    <row r="837" spans="10:40" ht="12.6">
      <c r="J837" s="2"/>
      <c r="K837" s="2"/>
      <c r="L837" s="2"/>
      <c r="M837" s="2"/>
      <c r="N837" s="2"/>
      <c r="AN837" s="2"/>
    </row>
    <row r="838" spans="10:40" ht="12.6">
      <c r="J838" s="2"/>
      <c r="K838" s="2"/>
      <c r="L838" s="2"/>
      <c r="M838" s="2"/>
      <c r="N838" s="2"/>
      <c r="AN838" s="2"/>
    </row>
    <row r="839" spans="10:40" ht="12.6">
      <c r="J839" s="2"/>
      <c r="K839" s="2"/>
      <c r="L839" s="2"/>
      <c r="M839" s="2"/>
      <c r="N839" s="2"/>
      <c r="AN839" s="2"/>
    </row>
    <row r="840" spans="10:40" ht="12.6">
      <c r="J840" s="2"/>
      <c r="K840" s="2"/>
      <c r="L840" s="2"/>
      <c r="M840" s="2"/>
      <c r="N840" s="2"/>
      <c r="AN840" s="2"/>
    </row>
    <row r="841" spans="10:40" ht="12.6">
      <c r="J841" s="2"/>
      <c r="K841" s="2"/>
      <c r="L841" s="2"/>
      <c r="M841" s="2"/>
      <c r="N841" s="2"/>
      <c r="AN841" s="2"/>
    </row>
    <row r="842" spans="10:40" ht="12.6">
      <c r="J842" s="2"/>
      <c r="K842" s="2"/>
      <c r="L842" s="2"/>
      <c r="M842" s="2"/>
      <c r="N842" s="2"/>
      <c r="AN842" s="2"/>
    </row>
    <row r="843" spans="10:40" ht="12.6">
      <c r="J843" s="2"/>
      <c r="K843" s="2"/>
      <c r="L843" s="2"/>
      <c r="M843" s="2"/>
      <c r="N843" s="2"/>
      <c r="AN843" s="2"/>
    </row>
    <row r="844" spans="10:40" ht="12.6">
      <c r="J844" s="2"/>
      <c r="K844" s="2"/>
      <c r="L844" s="2"/>
      <c r="M844" s="2"/>
      <c r="N844" s="2"/>
      <c r="AN844" s="2"/>
    </row>
    <row r="845" spans="10:40" ht="12.6">
      <c r="J845" s="2"/>
      <c r="K845" s="2"/>
      <c r="L845" s="2"/>
      <c r="M845" s="2"/>
      <c r="N845" s="2"/>
      <c r="AN845" s="2"/>
    </row>
    <row r="846" spans="10:40" ht="12.6">
      <c r="J846" s="2"/>
      <c r="K846" s="2"/>
      <c r="L846" s="2"/>
      <c r="M846" s="2"/>
      <c r="N846" s="2"/>
      <c r="AN846" s="2"/>
    </row>
    <row r="847" spans="10:40" ht="12.6">
      <c r="J847" s="2"/>
      <c r="K847" s="2"/>
      <c r="L847" s="2"/>
      <c r="M847" s="2"/>
      <c r="N847" s="2"/>
      <c r="AN847" s="2"/>
    </row>
    <row r="848" spans="10:40" ht="12.6">
      <c r="J848" s="2"/>
      <c r="K848" s="2"/>
      <c r="L848" s="2"/>
      <c r="M848" s="2"/>
      <c r="N848" s="2"/>
      <c r="AN848" s="2"/>
    </row>
    <row r="849" spans="10:40" ht="12.6">
      <c r="J849" s="2"/>
      <c r="K849" s="2"/>
      <c r="L849" s="2"/>
      <c r="M849" s="2"/>
      <c r="N849" s="2"/>
      <c r="AN849" s="2"/>
    </row>
    <row r="850" spans="10:40" ht="12.6">
      <c r="J850" s="2"/>
      <c r="K850" s="2"/>
      <c r="L850" s="2"/>
      <c r="M850" s="2"/>
      <c r="N850" s="2"/>
      <c r="AN850" s="2"/>
    </row>
    <row r="851" spans="10:40" ht="12.6">
      <c r="J851" s="2"/>
      <c r="K851" s="2"/>
      <c r="L851" s="2"/>
      <c r="M851" s="2"/>
      <c r="N851" s="2"/>
      <c r="AN851" s="2"/>
    </row>
    <row r="852" spans="10:40" ht="12.6">
      <c r="J852" s="2"/>
      <c r="K852" s="2"/>
      <c r="L852" s="2"/>
      <c r="M852" s="2"/>
      <c r="N852" s="2"/>
      <c r="AN852" s="2"/>
    </row>
    <row r="853" spans="10:40" ht="12.6">
      <c r="J853" s="2"/>
      <c r="K853" s="2"/>
      <c r="L853" s="2"/>
      <c r="M853" s="2"/>
      <c r="N853" s="2"/>
      <c r="AN853" s="2"/>
    </row>
    <row r="854" spans="10:40" ht="12.6">
      <c r="J854" s="2"/>
      <c r="K854" s="2"/>
      <c r="L854" s="2"/>
      <c r="M854" s="2"/>
      <c r="N854" s="2"/>
      <c r="AN854" s="2"/>
    </row>
    <row r="855" spans="10:40" ht="12.6">
      <c r="J855" s="2"/>
      <c r="K855" s="2"/>
      <c r="L855" s="2"/>
      <c r="M855" s="2"/>
      <c r="N855" s="2"/>
      <c r="AN855" s="2"/>
    </row>
    <row r="856" spans="10:40" ht="12.6">
      <c r="J856" s="2"/>
      <c r="K856" s="2"/>
      <c r="L856" s="2"/>
      <c r="M856" s="2"/>
      <c r="N856" s="2"/>
      <c r="AN856" s="2"/>
    </row>
    <row r="857" spans="10:40" ht="12.6">
      <c r="J857" s="2"/>
      <c r="K857" s="2"/>
      <c r="L857" s="2"/>
      <c r="M857" s="2"/>
      <c r="N857" s="2"/>
      <c r="AN857" s="2"/>
    </row>
    <row r="858" spans="10:40" ht="12.6">
      <c r="J858" s="2"/>
      <c r="K858" s="2"/>
      <c r="L858" s="2"/>
      <c r="M858" s="2"/>
      <c r="N858" s="2"/>
      <c r="AN858" s="2"/>
    </row>
    <row r="859" spans="10:40" ht="12.6">
      <c r="J859" s="2"/>
      <c r="K859" s="2"/>
      <c r="L859" s="2"/>
      <c r="M859" s="2"/>
      <c r="N859" s="2"/>
      <c r="AN859" s="2"/>
    </row>
    <row r="860" spans="10:40" ht="12.6">
      <c r="J860" s="2"/>
      <c r="K860" s="2"/>
      <c r="L860" s="2"/>
      <c r="M860" s="2"/>
      <c r="N860" s="2"/>
      <c r="AN860" s="2"/>
    </row>
    <row r="861" spans="10:40" ht="12.6">
      <c r="J861" s="2"/>
      <c r="K861" s="2"/>
      <c r="L861" s="2"/>
      <c r="M861" s="2"/>
      <c r="N861" s="2"/>
      <c r="AN861" s="2"/>
    </row>
    <row r="862" spans="10:40" ht="12.6">
      <c r="J862" s="2"/>
      <c r="K862" s="2"/>
      <c r="L862" s="2"/>
      <c r="M862" s="2"/>
      <c r="N862" s="2"/>
      <c r="AN862" s="2"/>
    </row>
    <row r="863" spans="10:40" ht="12.6">
      <c r="J863" s="2"/>
      <c r="K863" s="2"/>
      <c r="L863" s="2"/>
      <c r="M863" s="2"/>
      <c r="N863" s="2"/>
      <c r="AN863" s="2"/>
    </row>
    <row r="864" spans="10:40" ht="12.6">
      <c r="J864" s="2"/>
      <c r="K864" s="2"/>
      <c r="L864" s="2"/>
      <c r="M864" s="2"/>
      <c r="N864" s="2"/>
      <c r="AN864" s="2"/>
    </row>
    <row r="865" spans="10:40" ht="12.6">
      <c r="J865" s="2"/>
      <c r="K865" s="2"/>
      <c r="L865" s="2"/>
      <c r="M865" s="2"/>
      <c r="N865" s="2"/>
      <c r="AN865" s="2"/>
    </row>
    <row r="866" spans="10:40" ht="12.6">
      <c r="J866" s="2"/>
      <c r="K866" s="2"/>
      <c r="L866" s="2"/>
      <c r="M866" s="2"/>
      <c r="N866" s="2"/>
      <c r="AN866" s="2"/>
    </row>
    <row r="867" spans="10:40" ht="12.6">
      <c r="J867" s="2"/>
      <c r="K867" s="2"/>
      <c r="L867" s="2"/>
      <c r="M867" s="2"/>
      <c r="N867" s="2"/>
      <c r="AN867" s="2"/>
    </row>
    <row r="868" spans="10:40" ht="12.6">
      <c r="J868" s="2"/>
      <c r="K868" s="2"/>
      <c r="L868" s="2"/>
      <c r="M868" s="2"/>
      <c r="N868" s="2"/>
      <c r="AN868" s="2"/>
    </row>
    <row r="869" spans="10:40" ht="12.6">
      <c r="J869" s="2"/>
      <c r="K869" s="2"/>
      <c r="L869" s="2"/>
      <c r="M869" s="2"/>
      <c r="N869" s="2"/>
      <c r="AN869" s="2"/>
    </row>
    <row r="870" spans="10:40" ht="12.6">
      <c r="J870" s="2"/>
      <c r="K870" s="2"/>
      <c r="L870" s="2"/>
      <c r="M870" s="2"/>
      <c r="N870" s="2"/>
      <c r="AN870" s="2"/>
    </row>
    <row r="871" spans="10:40" ht="12.6">
      <c r="J871" s="2"/>
      <c r="K871" s="2"/>
      <c r="L871" s="2"/>
      <c r="M871" s="2"/>
      <c r="N871" s="2"/>
      <c r="AN871" s="2"/>
    </row>
    <row r="872" spans="10:40" ht="12.6">
      <c r="J872" s="2"/>
      <c r="K872" s="2"/>
      <c r="L872" s="2"/>
      <c r="M872" s="2"/>
      <c r="N872" s="2"/>
      <c r="AN872" s="2"/>
    </row>
    <row r="873" spans="10:40" ht="12.6">
      <c r="J873" s="2"/>
      <c r="K873" s="2"/>
      <c r="L873" s="2"/>
      <c r="M873" s="2"/>
      <c r="N873" s="2"/>
      <c r="AN873" s="2"/>
    </row>
    <row r="874" spans="10:40" ht="12.6">
      <c r="J874" s="2"/>
      <c r="K874" s="2"/>
      <c r="L874" s="2"/>
      <c r="M874" s="2"/>
      <c r="N874" s="2"/>
      <c r="AN874" s="2"/>
    </row>
    <row r="875" spans="10:40" ht="12.6">
      <c r="J875" s="2"/>
      <c r="K875" s="2"/>
      <c r="L875" s="2"/>
      <c r="M875" s="2"/>
      <c r="N875" s="2"/>
      <c r="AN875" s="2"/>
    </row>
    <row r="876" spans="10:40" ht="12.6">
      <c r="J876" s="2"/>
      <c r="K876" s="2"/>
      <c r="L876" s="2"/>
      <c r="M876" s="2"/>
      <c r="N876" s="2"/>
      <c r="AN876" s="2"/>
    </row>
    <row r="877" spans="10:40" ht="12.6">
      <c r="J877" s="2"/>
      <c r="K877" s="2"/>
      <c r="L877" s="2"/>
      <c r="M877" s="2"/>
      <c r="N877" s="2"/>
      <c r="AN877" s="2"/>
    </row>
    <row r="878" spans="10:40" ht="12.6">
      <c r="J878" s="2"/>
      <c r="K878" s="2"/>
      <c r="L878" s="2"/>
      <c r="M878" s="2"/>
      <c r="N878" s="2"/>
      <c r="AN878" s="2"/>
    </row>
    <row r="879" spans="10:40" ht="12.6">
      <c r="J879" s="2"/>
      <c r="K879" s="2"/>
      <c r="L879" s="2"/>
      <c r="M879" s="2"/>
      <c r="N879" s="2"/>
      <c r="AN879" s="2"/>
    </row>
    <row r="880" spans="10:40" ht="12.6">
      <c r="J880" s="2"/>
      <c r="K880" s="2"/>
      <c r="L880" s="2"/>
      <c r="M880" s="2"/>
      <c r="N880" s="2"/>
      <c r="AN880" s="2"/>
    </row>
    <row r="881" spans="10:40" ht="12.6">
      <c r="J881" s="2"/>
      <c r="K881" s="2"/>
      <c r="L881" s="2"/>
      <c r="M881" s="2"/>
      <c r="N881" s="2"/>
      <c r="AN881" s="2"/>
    </row>
    <row r="882" spans="10:40" ht="12.6">
      <c r="J882" s="2"/>
      <c r="K882" s="2"/>
      <c r="L882" s="2"/>
      <c r="M882" s="2"/>
      <c r="N882" s="2"/>
      <c r="AN882" s="2"/>
    </row>
    <row r="883" spans="10:40" ht="12.6">
      <c r="J883" s="2"/>
      <c r="K883" s="2"/>
      <c r="L883" s="2"/>
      <c r="M883" s="2"/>
      <c r="N883" s="2"/>
      <c r="AN883" s="2"/>
    </row>
    <row r="884" spans="10:40" ht="12.6">
      <c r="J884" s="2"/>
      <c r="K884" s="2"/>
      <c r="L884" s="2"/>
      <c r="M884" s="2"/>
      <c r="N884" s="2"/>
      <c r="AN884" s="2"/>
    </row>
    <row r="885" spans="10:40" ht="12.6">
      <c r="J885" s="2"/>
      <c r="K885" s="2"/>
      <c r="L885" s="2"/>
      <c r="M885" s="2"/>
      <c r="N885" s="2"/>
      <c r="AN885" s="2"/>
    </row>
    <row r="886" spans="10:40" ht="12.6">
      <c r="J886" s="2"/>
      <c r="K886" s="2"/>
      <c r="L886" s="2"/>
      <c r="M886" s="2"/>
      <c r="N886" s="2"/>
      <c r="AN886" s="2"/>
    </row>
    <row r="887" spans="10:40" ht="12.6">
      <c r="J887" s="2"/>
      <c r="K887" s="2"/>
      <c r="L887" s="2"/>
      <c r="M887" s="2"/>
      <c r="N887" s="2"/>
      <c r="AN887" s="2"/>
    </row>
    <row r="888" spans="10:40" ht="12.6">
      <c r="J888" s="2"/>
      <c r="K888" s="2"/>
      <c r="L888" s="2"/>
      <c r="M888" s="2"/>
      <c r="N888" s="2"/>
      <c r="AN888" s="2"/>
    </row>
    <row r="889" spans="10:40" ht="12.6">
      <c r="J889" s="2"/>
      <c r="K889" s="2"/>
      <c r="L889" s="2"/>
      <c r="M889" s="2"/>
      <c r="N889" s="2"/>
      <c r="AN889" s="2"/>
    </row>
    <row r="890" spans="10:40" ht="12.6">
      <c r="J890" s="2"/>
      <c r="K890" s="2"/>
      <c r="L890" s="2"/>
      <c r="M890" s="2"/>
      <c r="N890" s="2"/>
      <c r="AN890" s="2"/>
    </row>
    <row r="891" spans="10:40" ht="12.6">
      <c r="J891" s="2"/>
      <c r="K891" s="2"/>
      <c r="L891" s="2"/>
      <c r="M891" s="2"/>
      <c r="N891" s="2"/>
      <c r="AN891" s="2"/>
    </row>
    <row r="892" spans="10:40" ht="12.6">
      <c r="J892" s="2"/>
      <c r="K892" s="2"/>
      <c r="L892" s="2"/>
      <c r="M892" s="2"/>
      <c r="N892" s="2"/>
      <c r="AN892" s="2"/>
    </row>
    <row r="893" spans="10:40" ht="12.6">
      <c r="J893" s="2"/>
      <c r="K893" s="2"/>
      <c r="L893" s="2"/>
      <c r="M893" s="2"/>
      <c r="N893" s="2"/>
      <c r="AN893" s="2"/>
    </row>
    <row r="894" spans="10:40" ht="12.6">
      <c r="J894" s="2"/>
      <c r="K894" s="2"/>
      <c r="L894" s="2"/>
      <c r="M894" s="2"/>
      <c r="N894" s="2"/>
      <c r="AN894" s="2"/>
    </row>
    <row r="895" spans="10:40" ht="12.6">
      <c r="J895" s="2"/>
      <c r="K895" s="2"/>
      <c r="L895" s="2"/>
      <c r="M895" s="2"/>
      <c r="N895" s="2"/>
      <c r="AN895" s="2"/>
    </row>
    <row r="896" spans="10:40" ht="12.6">
      <c r="J896" s="2"/>
      <c r="K896" s="2"/>
      <c r="L896" s="2"/>
      <c r="M896" s="2"/>
      <c r="N896" s="2"/>
      <c r="AN896" s="2"/>
    </row>
    <row r="897" spans="10:40" ht="12.6">
      <c r="J897" s="2"/>
      <c r="K897" s="2"/>
      <c r="L897" s="2"/>
      <c r="M897" s="2"/>
      <c r="N897" s="2"/>
      <c r="AN897" s="2"/>
    </row>
    <row r="898" spans="10:40" ht="12.6">
      <c r="J898" s="2"/>
      <c r="K898" s="2"/>
      <c r="L898" s="2"/>
      <c r="M898" s="2"/>
      <c r="N898" s="2"/>
      <c r="AN898" s="2"/>
    </row>
    <row r="899" spans="10:40" ht="12.6">
      <c r="J899" s="2"/>
      <c r="K899" s="2"/>
      <c r="L899" s="2"/>
      <c r="M899" s="2"/>
      <c r="N899" s="2"/>
      <c r="AN899" s="2"/>
    </row>
    <row r="900" spans="10:40" ht="12.6">
      <c r="J900" s="2"/>
      <c r="K900" s="2"/>
      <c r="L900" s="2"/>
      <c r="M900" s="2"/>
      <c r="N900" s="2"/>
      <c r="AN900" s="2"/>
    </row>
    <row r="901" spans="10:40" ht="12.6">
      <c r="J901" s="2"/>
      <c r="K901" s="2"/>
      <c r="L901" s="2"/>
      <c r="M901" s="2"/>
      <c r="N901" s="2"/>
      <c r="AN901" s="2"/>
    </row>
    <row r="902" spans="10:40" ht="12.6">
      <c r="J902" s="2"/>
      <c r="K902" s="2"/>
      <c r="L902" s="2"/>
      <c r="M902" s="2"/>
      <c r="N902" s="2"/>
      <c r="AN902" s="2"/>
    </row>
    <row r="903" spans="10:40" ht="12.6">
      <c r="J903" s="2"/>
      <c r="K903" s="2"/>
      <c r="L903" s="2"/>
      <c r="M903" s="2"/>
      <c r="N903" s="2"/>
      <c r="AN903" s="2"/>
    </row>
    <row r="904" spans="10:40" ht="12.6">
      <c r="J904" s="2"/>
      <c r="K904" s="2"/>
      <c r="L904" s="2"/>
      <c r="M904" s="2"/>
      <c r="N904" s="2"/>
      <c r="AN904" s="2"/>
    </row>
    <row r="905" spans="10:40" ht="12.6">
      <c r="J905" s="2"/>
      <c r="K905" s="2"/>
      <c r="L905" s="2"/>
      <c r="M905" s="2"/>
      <c r="N905" s="2"/>
      <c r="AN905" s="2"/>
    </row>
    <row r="906" spans="10:40" ht="12.6">
      <c r="J906" s="2"/>
      <c r="K906" s="2"/>
      <c r="L906" s="2"/>
      <c r="M906" s="2"/>
      <c r="N906" s="2"/>
      <c r="AN906" s="2"/>
    </row>
    <row r="907" spans="10:40" ht="12.6">
      <c r="J907" s="2"/>
      <c r="K907" s="2"/>
      <c r="L907" s="2"/>
      <c r="M907" s="2"/>
      <c r="N907" s="2"/>
      <c r="AN907" s="2"/>
    </row>
    <row r="908" spans="10:40" ht="12.6">
      <c r="J908" s="2"/>
      <c r="K908" s="2"/>
      <c r="L908" s="2"/>
      <c r="M908" s="2"/>
      <c r="N908" s="2"/>
      <c r="AN908" s="2"/>
    </row>
    <row r="909" spans="10:40" ht="12.6">
      <c r="J909" s="2"/>
      <c r="K909" s="2"/>
      <c r="L909" s="2"/>
      <c r="M909" s="2"/>
      <c r="N909" s="2"/>
      <c r="AN909" s="2"/>
    </row>
    <row r="910" spans="10:40" ht="12.6">
      <c r="J910" s="2"/>
      <c r="K910" s="2"/>
      <c r="L910" s="2"/>
      <c r="M910" s="2"/>
      <c r="N910" s="2"/>
      <c r="AN910" s="2"/>
    </row>
    <row r="911" spans="10:40" ht="12.6">
      <c r="J911" s="2"/>
      <c r="K911" s="2"/>
      <c r="L911" s="2"/>
      <c r="M911" s="2"/>
      <c r="N911" s="2"/>
      <c r="AN911" s="2"/>
    </row>
    <row r="912" spans="10:40" ht="12.6">
      <c r="J912" s="2"/>
      <c r="K912" s="2"/>
      <c r="L912" s="2"/>
      <c r="M912" s="2"/>
      <c r="N912" s="2"/>
      <c r="AN912" s="2"/>
    </row>
    <row r="913" spans="10:40" ht="12.6">
      <c r="J913" s="2"/>
      <c r="K913" s="2"/>
      <c r="L913" s="2"/>
      <c r="M913" s="2"/>
      <c r="N913" s="2"/>
      <c r="AN913" s="2"/>
    </row>
    <row r="914" spans="10:40" ht="12.6">
      <c r="J914" s="2"/>
      <c r="K914" s="2"/>
      <c r="L914" s="2"/>
      <c r="M914" s="2"/>
      <c r="N914" s="2"/>
      <c r="AN914" s="2"/>
    </row>
    <row r="915" spans="10:40" ht="12.6">
      <c r="J915" s="2"/>
      <c r="K915" s="2"/>
      <c r="L915" s="2"/>
      <c r="M915" s="2"/>
      <c r="N915" s="2"/>
      <c r="AN915" s="2"/>
    </row>
    <row r="916" spans="10:40" ht="12.6">
      <c r="J916" s="2"/>
      <c r="K916" s="2"/>
      <c r="L916" s="2"/>
      <c r="M916" s="2"/>
      <c r="N916" s="2"/>
      <c r="AN916" s="2"/>
    </row>
    <row r="917" spans="10:40" ht="12.6">
      <c r="J917" s="2"/>
      <c r="K917" s="2"/>
      <c r="L917" s="2"/>
      <c r="M917" s="2"/>
      <c r="N917" s="2"/>
      <c r="AN917" s="2"/>
    </row>
    <row r="918" spans="10:40" ht="12.6">
      <c r="J918" s="2"/>
      <c r="K918" s="2"/>
      <c r="L918" s="2"/>
      <c r="M918" s="2"/>
      <c r="N918" s="2"/>
      <c r="AN918" s="2"/>
    </row>
    <row r="919" spans="10:40" ht="12.6">
      <c r="J919" s="2"/>
      <c r="K919" s="2"/>
      <c r="L919" s="2"/>
      <c r="M919" s="2"/>
      <c r="N919" s="2"/>
      <c r="AN919" s="2"/>
    </row>
  </sheetData>
  <hyperlinks>
    <hyperlink ref="W63" r:id="rId1" xr:uid="{00000000-0004-0000-0000-000000000000}"/>
    <hyperlink ref="D85" r:id="rId2" xr:uid="{00000000-0004-0000-0000-000001000000}"/>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P57"/>
  <sheetViews>
    <sheetView tabSelected="1" zoomScale="62" workbookViewId="0">
      <selection activeCell="O9" sqref="O9"/>
    </sheetView>
  </sheetViews>
  <sheetFormatPr defaultColWidth="12.5703125" defaultRowHeight="15.75" customHeight="1"/>
  <cols>
    <col min="7" max="7" width="24.42578125" customWidth="1"/>
    <col min="8" max="8" width="16.5703125" customWidth="1"/>
  </cols>
  <sheetData>
    <row r="1" spans="1:14" ht="15.75" customHeight="1">
      <c r="A1" s="1" t="s">
        <v>206</v>
      </c>
    </row>
    <row r="2" spans="1:14" ht="26.1">
      <c r="A2" s="1" t="s">
        <v>207</v>
      </c>
      <c r="G2" s="13" t="s">
        <v>208</v>
      </c>
      <c r="H2" s="14" t="s">
        <v>209</v>
      </c>
      <c r="I2" s="13" t="s">
        <v>210</v>
      </c>
      <c r="J2" s="13" t="s">
        <v>211</v>
      </c>
      <c r="K2" s="13" t="s">
        <v>212</v>
      </c>
      <c r="L2" s="14" t="s">
        <v>213</v>
      </c>
      <c r="M2" s="13" t="s">
        <v>214</v>
      </c>
      <c r="N2" s="22" t="s">
        <v>215</v>
      </c>
    </row>
    <row r="3" spans="1:14" ht="15.75" customHeight="1">
      <c r="G3" s="1" t="s">
        <v>216</v>
      </c>
      <c r="H3" s="1">
        <v>5</v>
      </c>
      <c r="I3" s="1">
        <v>5</v>
      </c>
      <c r="J3" s="1">
        <v>5</v>
      </c>
      <c r="K3" s="1">
        <v>5</v>
      </c>
      <c r="L3" s="1">
        <v>1</v>
      </c>
      <c r="M3" s="1">
        <f t="shared" ref="M3:M26" si="0">0.35*H3+0.25*I3+0.2*J3+0.1*K3+0.15*L3</f>
        <v>4.6500000000000004</v>
      </c>
      <c r="N3" s="1">
        <v>1</v>
      </c>
    </row>
    <row r="4" spans="1:14" ht="15.75" customHeight="1">
      <c r="A4" s="1" t="s">
        <v>217</v>
      </c>
      <c r="C4" s="1" t="s">
        <v>218</v>
      </c>
      <c r="G4" s="1" t="s">
        <v>219</v>
      </c>
      <c r="H4" s="1">
        <v>4</v>
      </c>
      <c r="I4" s="1">
        <v>1</v>
      </c>
      <c r="J4" s="1">
        <v>4</v>
      </c>
      <c r="K4" s="1">
        <v>4</v>
      </c>
      <c r="L4" s="1">
        <v>5</v>
      </c>
      <c r="M4" s="1">
        <f t="shared" si="0"/>
        <v>3.6</v>
      </c>
      <c r="N4" s="1">
        <v>1</v>
      </c>
    </row>
    <row r="5" spans="1:14" ht="15.75" customHeight="1">
      <c r="A5" s="1" t="s">
        <v>220</v>
      </c>
      <c r="G5" s="1" t="s">
        <v>221</v>
      </c>
      <c r="H5" s="1">
        <v>3</v>
      </c>
      <c r="I5" s="1">
        <v>1</v>
      </c>
      <c r="J5" s="1">
        <v>4</v>
      </c>
      <c r="K5" s="1">
        <v>3</v>
      </c>
      <c r="L5" s="1">
        <v>5</v>
      </c>
      <c r="M5" s="1">
        <f t="shared" si="0"/>
        <v>3.1499999999999995</v>
      </c>
      <c r="N5" s="1">
        <v>1</v>
      </c>
    </row>
    <row r="6" spans="1:14" ht="15.75" customHeight="1">
      <c r="G6" s="1" t="s">
        <v>222</v>
      </c>
      <c r="H6" s="1">
        <v>3</v>
      </c>
      <c r="I6" s="1">
        <v>5</v>
      </c>
      <c r="J6" s="1">
        <v>3</v>
      </c>
      <c r="K6" s="1">
        <v>3</v>
      </c>
      <c r="L6" s="1">
        <v>4</v>
      </c>
      <c r="M6" s="1">
        <f t="shared" si="0"/>
        <v>3.8000000000000003</v>
      </c>
      <c r="N6" s="1">
        <v>1</v>
      </c>
    </row>
    <row r="7" spans="1:14" ht="15.75" customHeight="1">
      <c r="A7" s="1" t="s">
        <v>223</v>
      </c>
      <c r="D7" s="1" t="s">
        <v>224</v>
      </c>
      <c r="G7" s="1" t="s">
        <v>225</v>
      </c>
      <c r="H7" s="1">
        <v>3</v>
      </c>
      <c r="I7" s="1">
        <v>1</v>
      </c>
      <c r="J7" s="1">
        <v>3</v>
      </c>
      <c r="K7" s="1">
        <v>3</v>
      </c>
      <c r="L7" s="1">
        <v>5</v>
      </c>
      <c r="M7" s="1">
        <f t="shared" si="0"/>
        <v>2.95</v>
      </c>
      <c r="N7" s="1">
        <v>0</v>
      </c>
    </row>
    <row r="8" spans="1:14" ht="15.75" customHeight="1">
      <c r="A8" t="s">
        <v>226</v>
      </c>
      <c r="D8" s="1"/>
      <c r="G8" s="1" t="s">
        <v>227</v>
      </c>
      <c r="H8" s="1">
        <v>2</v>
      </c>
      <c r="I8" s="1">
        <v>2</v>
      </c>
      <c r="J8" s="1">
        <v>3</v>
      </c>
      <c r="K8" s="1">
        <v>3</v>
      </c>
      <c r="L8" s="1">
        <v>5</v>
      </c>
      <c r="M8" s="1">
        <f t="shared" si="0"/>
        <v>2.85</v>
      </c>
      <c r="N8" s="1">
        <v>1</v>
      </c>
    </row>
    <row r="9" spans="1:14" ht="15.75" customHeight="1">
      <c r="A9" s="1"/>
      <c r="D9" s="1"/>
      <c r="G9" s="1" t="s">
        <v>228</v>
      </c>
      <c r="H9" s="1">
        <v>2</v>
      </c>
      <c r="I9" s="1">
        <v>3</v>
      </c>
      <c r="J9" s="1">
        <v>2</v>
      </c>
      <c r="K9" s="1">
        <v>2</v>
      </c>
      <c r="L9" s="1">
        <v>3</v>
      </c>
      <c r="M9" s="1">
        <f t="shared" si="0"/>
        <v>2.5</v>
      </c>
      <c r="N9" s="1">
        <v>0</v>
      </c>
    </row>
    <row r="10" spans="1:14" ht="15.75" customHeight="1">
      <c r="A10" s="1" t="s">
        <v>229</v>
      </c>
      <c r="D10" s="1"/>
      <c r="G10" s="1" t="s">
        <v>230</v>
      </c>
      <c r="H10" s="1">
        <v>2</v>
      </c>
      <c r="I10" s="1">
        <v>1</v>
      </c>
      <c r="J10" s="1">
        <v>2</v>
      </c>
      <c r="K10" s="1">
        <v>2</v>
      </c>
      <c r="L10" s="1">
        <v>5</v>
      </c>
      <c r="M10" s="1">
        <f t="shared" si="0"/>
        <v>2.2999999999999998</v>
      </c>
      <c r="N10" s="1">
        <v>0</v>
      </c>
    </row>
    <row r="11" spans="1:14" ht="15.75" customHeight="1">
      <c r="A11" s="1"/>
      <c r="D11" s="1"/>
      <c r="G11" s="1" t="s">
        <v>231</v>
      </c>
      <c r="H11" s="1">
        <v>2</v>
      </c>
      <c r="I11" s="1">
        <v>1</v>
      </c>
      <c r="J11" s="1">
        <v>2</v>
      </c>
      <c r="K11" s="1">
        <v>2</v>
      </c>
      <c r="L11" s="1">
        <v>5</v>
      </c>
      <c r="M11" s="1">
        <f t="shared" si="0"/>
        <v>2.2999999999999998</v>
      </c>
      <c r="N11" s="1">
        <v>0</v>
      </c>
    </row>
    <row r="12" spans="1:14" ht="15.75" customHeight="1">
      <c r="A12" s="1"/>
      <c r="D12" s="1"/>
      <c r="G12" s="1" t="s">
        <v>232</v>
      </c>
      <c r="H12" s="1">
        <v>2</v>
      </c>
      <c r="I12" s="1">
        <v>1</v>
      </c>
      <c r="J12" s="1">
        <v>2</v>
      </c>
      <c r="K12" s="1">
        <v>2</v>
      </c>
      <c r="L12" s="1">
        <v>5</v>
      </c>
      <c r="M12" s="1">
        <f t="shared" si="0"/>
        <v>2.2999999999999998</v>
      </c>
      <c r="N12" s="1">
        <v>0</v>
      </c>
    </row>
    <row r="13" spans="1:14" ht="15.75" customHeight="1">
      <c r="A13" s="1"/>
      <c r="D13" s="1"/>
      <c r="G13" s="1" t="s">
        <v>233</v>
      </c>
      <c r="H13" s="1">
        <v>2</v>
      </c>
      <c r="I13" s="1">
        <v>1</v>
      </c>
      <c r="J13" s="1">
        <v>2</v>
      </c>
      <c r="K13" s="1">
        <v>2</v>
      </c>
      <c r="L13" s="1">
        <v>5</v>
      </c>
      <c r="M13" s="1">
        <f t="shared" si="0"/>
        <v>2.2999999999999998</v>
      </c>
      <c r="N13" s="1">
        <v>0</v>
      </c>
    </row>
    <row r="14" spans="1:14" ht="15.75" customHeight="1">
      <c r="A14" s="1"/>
      <c r="D14" s="1"/>
      <c r="G14" s="1" t="s">
        <v>234</v>
      </c>
      <c r="H14" s="1">
        <v>2</v>
      </c>
      <c r="I14" s="1">
        <v>1</v>
      </c>
      <c r="J14" s="1">
        <v>2</v>
      </c>
      <c r="K14" s="1">
        <v>2</v>
      </c>
      <c r="L14" s="1">
        <v>5</v>
      </c>
      <c r="M14" s="1">
        <f t="shared" si="0"/>
        <v>2.2999999999999998</v>
      </c>
      <c r="N14" s="1">
        <v>0</v>
      </c>
    </row>
    <row r="15" spans="1:14" ht="15.75" customHeight="1">
      <c r="A15" s="1"/>
      <c r="D15" s="1"/>
      <c r="G15" s="1" t="s">
        <v>235</v>
      </c>
      <c r="H15" s="1">
        <v>2</v>
      </c>
      <c r="I15" s="1">
        <v>1</v>
      </c>
      <c r="J15" s="1">
        <v>1</v>
      </c>
      <c r="K15" s="1">
        <v>1</v>
      </c>
      <c r="L15" s="1">
        <v>5</v>
      </c>
      <c r="M15" s="1">
        <f t="shared" si="0"/>
        <v>2</v>
      </c>
      <c r="N15" s="1">
        <v>0</v>
      </c>
    </row>
    <row r="16" spans="1:14" ht="15.75" customHeight="1">
      <c r="A16" s="1"/>
      <c r="D16" s="1"/>
      <c r="G16" s="1" t="s">
        <v>236</v>
      </c>
      <c r="H16" s="1">
        <v>1</v>
      </c>
      <c r="I16" s="1">
        <v>2</v>
      </c>
      <c r="J16" s="1">
        <v>2</v>
      </c>
      <c r="K16" s="1">
        <v>2</v>
      </c>
      <c r="L16" s="1">
        <v>5</v>
      </c>
      <c r="M16" s="1">
        <f t="shared" si="0"/>
        <v>2.2000000000000002</v>
      </c>
      <c r="N16" s="1">
        <v>0</v>
      </c>
    </row>
    <row r="17" spans="1:16" ht="15.75" customHeight="1">
      <c r="A17" s="1"/>
      <c r="D17" s="1"/>
      <c r="G17" s="1" t="s">
        <v>237</v>
      </c>
      <c r="H17" s="1">
        <v>2</v>
      </c>
      <c r="I17" s="1">
        <v>2</v>
      </c>
      <c r="J17" s="1">
        <v>1</v>
      </c>
      <c r="K17" s="1">
        <v>2</v>
      </c>
      <c r="L17" s="1">
        <v>5</v>
      </c>
      <c r="M17" s="1">
        <f t="shared" si="0"/>
        <v>2.3499999999999996</v>
      </c>
      <c r="N17" s="1">
        <v>0</v>
      </c>
    </row>
    <row r="18" spans="1:16" ht="15.75" customHeight="1">
      <c r="A18" s="1"/>
      <c r="D18" s="1"/>
      <c r="G18" s="1" t="s">
        <v>238</v>
      </c>
      <c r="H18" s="1">
        <v>3</v>
      </c>
      <c r="I18" s="1">
        <v>1</v>
      </c>
      <c r="J18" s="1">
        <v>3</v>
      </c>
      <c r="K18" s="1">
        <v>2</v>
      </c>
      <c r="L18" s="1">
        <v>5</v>
      </c>
      <c r="M18" s="1">
        <f t="shared" si="0"/>
        <v>2.85</v>
      </c>
      <c r="N18" s="1">
        <v>0</v>
      </c>
    </row>
    <row r="19" spans="1:16" ht="15.75" customHeight="1">
      <c r="A19" s="1"/>
      <c r="D19" s="1"/>
      <c r="G19" s="1" t="s">
        <v>239</v>
      </c>
      <c r="H19" s="1">
        <v>2</v>
      </c>
      <c r="I19" s="1">
        <v>1</v>
      </c>
      <c r="J19" s="1">
        <v>3</v>
      </c>
      <c r="K19" s="1">
        <v>2</v>
      </c>
      <c r="L19" s="1">
        <v>5</v>
      </c>
      <c r="M19" s="1">
        <f t="shared" si="0"/>
        <v>2.5</v>
      </c>
      <c r="N19" s="1">
        <v>0</v>
      </c>
    </row>
    <row r="20" spans="1:16" ht="15.75" customHeight="1">
      <c r="A20" s="1"/>
      <c r="D20" s="1"/>
      <c r="G20" s="1" t="s">
        <v>240</v>
      </c>
      <c r="H20" s="1">
        <v>2</v>
      </c>
      <c r="I20" s="1">
        <v>1</v>
      </c>
      <c r="J20" s="1">
        <v>2</v>
      </c>
      <c r="K20" s="1">
        <v>2</v>
      </c>
      <c r="L20" s="1">
        <v>4</v>
      </c>
      <c r="M20" s="1">
        <f t="shared" si="0"/>
        <v>2.15</v>
      </c>
      <c r="N20" s="1">
        <v>0</v>
      </c>
    </row>
    <row r="21" spans="1:16" ht="15.75" customHeight="1">
      <c r="A21" s="1"/>
      <c r="D21" s="1"/>
      <c r="G21" s="1" t="s">
        <v>241</v>
      </c>
      <c r="H21" s="1">
        <v>2</v>
      </c>
      <c r="I21" s="1">
        <v>3</v>
      </c>
      <c r="J21" s="1">
        <v>2</v>
      </c>
      <c r="K21" s="1">
        <v>2</v>
      </c>
      <c r="L21" s="1">
        <v>5</v>
      </c>
      <c r="M21" s="1">
        <f t="shared" si="0"/>
        <v>2.8000000000000003</v>
      </c>
      <c r="N21" s="1">
        <v>0</v>
      </c>
    </row>
    <row r="22" spans="1:16" ht="12.6">
      <c r="A22" s="1"/>
      <c r="D22" s="1"/>
      <c r="G22" s="1" t="s">
        <v>242</v>
      </c>
      <c r="H22" s="1">
        <v>2</v>
      </c>
      <c r="I22" s="1">
        <v>3</v>
      </c>
      <c r="J22" s="1">
        <v>4</v>
      </c>
      <c r="K22" s="1">
        <v>5</v>
      </c>
      <c r="L22" s="1">
        <v>3</v>
      </c>
      <c r="M22" s="1">
        <f t="shared" si="0"/>
        <v>3.2</v>
      </c>
      <c r="N22" s="1">
        <v>0</v>
      </c>
    </row>
    <row r="23" spans="1:16" ht="12.6">
      <c r="A23" s="1"/>
      <c r="D23" s="1"/>
      <c r="G23" s="1" t="s">
        <v>243</v>
      </c>
      <c r="H23" s="1">
        <v>2</v>
      </c>
      <c r="I23" s="1">
        <v>3</v>
      </c>
      <c r="J23" s="1">
        <v>1</v>
      </c>
      <c r="K23" s="1">
        <v>1</v>
      </c>
      <c r="L23" s="1">
        <v>5</v>
      </c>
      <c r="M23" s="1">
        <f t="shared" si="0"/>
        <v>2.5</v>
      </c>
      <c r="N23" s="1">
        <v>0</v>
      </c>
    </row>
    <row r="24" spans="1:16" ht="12.6">
      <c r="A24" s="1"/>
      <c r="D24" s="1"/>
      <c r="G24" s="1" t="s">
        <v>244</v>
      </c>
      <c r="H24" s="1">
        <v>2</v>
      </c>
      <c r="I24" s="1">
        <v>1</v>
      </c>
      <c r="J24" s="1">
        <v>2</v>
      </c>
      <c r="K24" s="1">
        <v>2</v>
      </c>
      <c r="L24" s="1">
        <v>5</v>
      </c>
      <c r="M24" s="1">
        <f t="shared" si="0"/>
        <v>2.2999999999999998</v>
      </c>
      <c r="N24" s="1">
        <v>0</v>
      </c>
    </row>
    <row r="25" spans="1:16" ht="12.6">
      <c r="A25" s="1"/>
      <c r="D25" s="1"/>
      <c r="G25" s="1" t="s">
        <v>245</v>
      </c>
      <c r="H25" s="1">
        <v>4</v>
      </c>
      <c r="I25" s="1">
        <v>2</v>
      </c>
      <c r="J25" s="1">
        <v>3</v>
      </c>
      <c r="K25" s="1">
        <v>2</v>
      </c>
      <c r="L25" s="1">
        <v>4</v>
      </c>
      <c r="M25" s="1">
        <f t="shared" si="0"/>
        <v>3.3000000000000003</v>
      </c>
      <c r="N25" s="1">
        <v>0</v>
      </c>
    </row>
    <row r="26" spans="1:16" ht="12.6">
      <c r="A26" s="1"/>
      <c r="D26" s="1"/>
      <c r="G26" s="1" t="s">
        <v>246</v>
      </c>
      <c r="H26" s="1">
        <v>2</v>
      </c>
      <c r="I26" s="1">
        <v>1</v>
      </c>
      <c r="J26" s="1">
        <v>3</v>
      </c>
      <c r="K26" s="1">
        <v>2</v>
      </c>
      <c r="L26" s="1">
        <v>5</v>
      </c>
      <c r="M26" s="1">
        <f t="shared" si="0"/>
        <v>2.5</v>
      </c>
      <c r="N26" s="1">
        <v>0</v>
      </c>
    </row>
    <row r="27" spans="1:16" ht="12.6">
      <c r="A27" s="1" t="s">
        <v>247</v>
      </c>
      <c r="N27" s="19">
        <f>SUM(N3:N26)</f>
        <v>5</v>
      </c>
      <c r="P27">
        <f>SUMPRODUCT(P32:P52, M4:M24)</f>
        <v>40.5</v>
      </c>
    </row>
    <row r="28" spans="1:16" ht="12.95">
      <c r="A28" s="1" t="s">
        <v>248</v>
      </c>
      <c r="G28" s="3" t="s">
        <v>249</v>
      </c>
      <c r="M28" s="19" t="s">
        <v>250</v>
      </c>
    </row>
    <row r="29" spans="1:16" ht="26.1">
      <c r="G29" s="15" t="s">
        <v>251</v>
      </c>
      <c r="H29" s="15" t="s">
        <v>216</v>
      </c>
      <c r="I29" s="15" t="s">
        <v>219</v>
      </c>
      <c r="J29" s="15" t="s">
        <v>221</v>
      </c>
      <c r="K29" s="15" t="s">
        <v>222</v>
      </c>
      <c r="L29" s="15" t="s">
        <v>225</v>
      </c>
      <c r="M29" s="15" t="s">
        <v>227</v>
      </c>
      <c r="N29" s="15" t="s">
        <v>252</v>
      </c>
    </row>
    <row r="30" spans="1:16" ht="14.1">
      <c r="A30" s="1" t="s">
        <v>253</v>
      </c>
      <c r="G30" s="16" t="s">
        <v>216</v>
      </c>
      <c r="H30" s="16">
        <v>1</v>
      </c>
      <c r="I30" s="16">
        <v>1</v>
      </c>
      <c r="J30" s="16">
        <v>1</v>
      </c>
      <c r="K30" s="16">
        <v>1</v>
      </c>
      <c r="L30" s="16">
        <v>0</v>
      </c>
      <c r="M30" s="16">
        <v>0</v>
      </c>
      <c r="N30" s="20" t="e">
        <f>SUMPRODUCT(H32:M32,$N$4:$N$9)</f>
        <v>#VALUE!</v>
      </c>
    </row>
    <row r="31" spans="1:16" ht="12.6">
      <c r="A31" s="1" t="s">
        <v>254</v>
      </c>
      <c r="G31" s="16" t="s">
        <v>219</v>
      </c>
      <c r="H31" s="16">
        <v>1</v>
      </c>
      <c r="I31" s="16">
        <v>1</v>
      </c>
      <c r="J31" s="16">
        <v>0</v>
      </c>
      <c r="K31" s="16">
        <v>1</v>
      </c>
      <c r="L31" s="16">
        <v>0</v>
      </c>
      <c r="M31" s="16">
        <v>0</v>
      </c>
    </row>
    <row r="32" spans="1:16" ht="12.6">
      <c r="A32" s="1" t="s">
        <v>255</v>
      </c>
      <c r="G32" s="16" t="s">
        <v>221</v>
      </c>
      <c r="H32" s="16">
        <v>1</v>
      </c>
      <c r="I32" s="16">
        <v>0</v>
      </c>
      <c r="J32" s="16">
        <v>1</v>
      </c>
      <c r="K32" s="16">
        <v>0</v>
      </c>
      <c r="L32" s="16">
        <v>0</v>
      </c>
      <c r="M32" s="16">
        <v>1</v>
      </c>
      <c r="O32">
        <f>I32*$N$4 + J32*$N$5 + K32*$N$6 + L32*$N$7 + M32*$N$8 + N32*$N$9</f>
        <v>2</v>
      </c>
      <c r="P32">
        <f>--(O32&gt;=1)</f>
        <v>1</v>
      </c>
    </row>
    <row r="33" spans="1:16" ht="12.6">
      <c r="A33" s="1" t="s">
        <v>256</v>
      </c>
      <c r="G33" s="16" t="s">
        <v>222</v>
      </c>
      <c r="H33" s="16">
        <v>1</v>
      </c>
      <c r="I33" s="16">
        <v>1</v>
      </c>
      <c r="J33" s="16">
        <v>0</v>
      </c>
      <c r="K33" s="16">
        <v>1</v>
      </c>
      <c r="L33" s="16">
        <v>0</v>
      </c>
      <c r="M33" s="16">
        <v>0</v>
      </c>
      <c r="O33">
        <f t="shared" ref="O33:O53" si="1">I33*$N$4 + J33*$N$5 + K33*$N$6 + L33*$N$7 + M33*$N$8 + N33*$N$9</f>
        <v>2</v>
      </c>
      <c r="P33">
        <f t="shared" ref="P33:P53" si="2">--(O33&gt;=1)</f>
        <v>1</v>
      </c>
    </row>
    <row r="34" spans="1:16" ht="15.75" customHeight="1">
      <c r="G34" s="16" t="s">
        <v>225</v>
      </c>
      <c r="H34" s="16">
        <v>0</v>
      </c>
      <c r="I34" s="16">
        <v>0</v>
      </c>
      <c r="J34" s="16">
        <v>0</v>
      </c>
      <c r="K34" s="16">
        <v>0</v>
      </c>
      <c r="L34" s="16">
        <v>1</v>
      </c>
      <c r="M34" s="16">
        <v>1</v>
      </c>
      <c r="O34">
        <f t="shared" si="1"/>
        <v>1</v>
      </c>
      <c r="P34">
        <f t="shared" si="2"/>
        <v>1</v>
      </c>
    </row>
    <row r="35" spans="1:16" ht="15.75" customHeight="1">
      <c r="G35" s="16" t="s">
        <v>227</v>
      </c>
      <c r="H35" s="16">
        <v>0</v>
      </c>
      <c r="I35" s="16">
        <v>0</v>
      </c>
      <c r="J35" s="16">
        <v>1</v>
      </c>
      <c r="K35" s="16">
        <v>0</v>
      </c>
      <c r="L35" s="16">
        <v>1</v>
      </c>
      <c r="M35" s="16">
        <v>1</v>
      </c>
      <c r="O35">
        <f t="shared" si="1"/>
        <v>2</v>
      </c>
      <c r="P35">
        <f t="shared" si="2"/>
        <v>1</v>
      </c>
    </row>
    <row r="36" spans="1:16" ht="15.75" customHeight="1">
      <c r="G36" s="16" t="s">
        <v>228</v>
      </c>
      <c r="H36" s="16">
        <v>1</v>
      </c>
      <c r="I36" s="16">
        <v>0</v>
      </c>
      <c r="J36" s="16">
        <v>0</v>
      </c>
      <c r="K36" s="16">
        <v>0</v>
      </c>
      <c r="L36" s="16">
        <v>0</v>
      </c>
      <c r="M36" s="16">
        <v>0</v>
      </c>
      <c r="O36">
        <f t="shared" si="1"/>
        <v>0</v>
      </c>
      <c r="P36">
        <f t="shared" si="2"/>
        <v>0</v>
      </c>
    </row>
    <row r="37" spans="1:16" ht="15.75" customHeight="1">
      <c r="G37" s="16" t="s">
        <v>230</v>
      </c>
      <c r="H37" s="16">
        <v>1</v>
      </c>
      <c r="I37" s="16">
        <v>0</v>
      </c>
      <c r="J37" s="16">
        <v>1</v>
      </c>
      <c r="K37" s="16">
        <v>0</v>
      </c>
      <c r="L37" s="16">
        <v>0</v>
      </c>
      <c r="M37" s="16">
        <v>0</v>
      </c>
      <c r="O37">
        <f t="shared" si="1"/>
        <v>1</v>
      </c>
      <c r="P37">
        <f t="shared" si="2"/>
        <v>1</v>
      </c>
    </row>
    <row r="38" spans="1:16" ht="15.75" customHeight="1">
      <c r="G38" s="16" t="s">
        <v>231</v>
      </c>
      <c r="H38" s="16">
        <v>1</v>
      </c>
      <c r="I38" s="16">
        <v>0</v>
      </c>
      <c r="J38" s="16">
        <v>1</v>
      </c>
      <c r="K38" s="16">
        <v>0</v>
      </c>
      <c r="L38" s="16">
        <v>0</v>
      </c>
      <c r="M38" s="16">
        <v>0</v>
      </c>
      <c r="O38">
        <f t="shared" si="1"/>
        <v>1</v>
      </c>
      <c r="P38">
        <f t="shared" si="2"/>
        <v>1</v>
      </c>
    </row>
    <row r="39" spans="1:16" ht="15.75" customHeight="1">
      <c r="G39" s="16" t="s">
        <v>232</v>
      </c>
      <c r="H39" s="16">
        <v>1</v>
      </c>
      <c r="I39" s="16">
        <v>0</v>
      </c>
      <c r="J39" s="16">
        <v>1</v>
      </c>
      <c r="K39" s="16">
        <v>0</v>
      </c>
      <c r="L39" s="16">
        <v>0</v>
      </c>
      <c r="M39" s="16">
        <v>0</v>
      </c>
      <c r="O39">
        <f t="shared" si="1"/>
        <v>1</v>
      </c>
      <c r="P39">
        <f t="shared" si="2"/>
        <v>1</v>
      </c>
    </row>
    <row r="40" spans="1:16" ht="15.75" customHeight="1">
      <c r="G40" s="16" t="s">
        <v>233</v>
      </c>
      <c r="H40" s="16">
        <v>1</v>
      </c>
      <c r="I40" s="16">
        <v>0</v>
      </c>
      <c r="J40" s="16">
        <v>1</v>
      </c>
      <c r="K40" s="16">
        <v>0</v>
      </c>
      <c r="L40" s="16">
        <v>0</v>
      </c>
      <c r="M40" s="16">
        <v>0</v>
      </c>
      <c r="O40">
        <f t="shared" si="1"/>
        <v>1</v>
      </c>
      <c r="P40">
        <f t="shared" si="2"/>
        <v>1</v>
      </c>
    </row>
    <row r="41" spans="1:16" ht="15.75" customHeight="1">
      <c r="G41" s="17" t="s">
        <v>234</v>
      </c>
      <c r="H41" s="16">
        <v>1</v>
      </c>
      <c r="I41" s="16">
        <v>0</v>
      </c>
      <c r="J41" s="16">
        <v>1</v>
      </c>
      <c r="K41" s="16">
        <v>0</v>
      </c>
      <c r="L41" s="16">
        <v>0</v>
      </c>
      <c r="M41" s="16">
        <v>0</v>
      </c>
      <c r="O41">
        <f t="shared" si="1"/>
        <v>1</v>
      </c>
      <c r="P41">
        <f t="shared" si="2"/>
        <v>1</v>
      </c>
    </row>
    <row r="42" spans="1:16" ht="15.75" customHeight="1">
      <c r="G42" s="16" t="s">
        <v>235</v>
      </c>
      <c r="H42" s="16">
        <v>1</v>
      </c>
      <c r="I42" s="16">
        <v>0</v>
      </c>
      <c r="J42" s="16">
        <v>0</v>
      </c>
      <c r="K42" s="16">
        <v>0</v>
      </c>
      <c r="L42" s="16">
        <v>0</v>
      </c>
      <c r="M42" s="16">
        <v>0</v>
      </c>
      <c r="O42">
        <f t="shared" si="1"/>
        <v>0</v>
      </c>
      <c r="P42">
        <f t="shared" si="2"/>
        <v>0</v>
      </c>
    </row>
    <row r="43" spans="1:16" ht="15.75" customHeight="1">
      <c r="G43" s="16" t="s">
        <v>236</v>
      </c>
      <c r="H43" s="16">
        <v>1</v>
      </c>
      <c r="I43" s="16">
        <v>0</v>
      </c>
      <c r="J43" s="16">
        <v>0</v>
      </c>
      <c r="K43" s="16">
        <v>0</v>
      </c>
      <c r="L43" s="16">
        <v>0</v>
      </c>
      <c r="M43" s="16">
        <v>0</v>
      </c>
      <c r="O43">
        <f t="shared" si="1"/>
        <v>0</v>
      </c>
      <c r="P43">
        <f t="shared" si="2"/>
        <v>0</v>
      </c>
    </row>
    <row r="44" spans="1:16" ht="15.75" customHeight="1">
      <c r="G44" s="16" t="s">
        <v>237</v>
      </c>
      <c r="H44" s="16">
        <v>1</v>
      </c>
      <c r="I44" s="16">
        <v>0</v>
      </c>
      <c r="J44" s="16">
        <v>0</v>
      </c>
      <c r="K44" s="16">
        <v>0</v>
      </c>
      <c r="L44" s="16">
        <v>0</v>
      </c>
      <c r="M44" s="16">
        <v>0</v>
      </c>
      <c r="O44">
        <f t="shared" si="1"/>
        <v>0</v>
      </c>
      <c r="P44">
        <f t="shared" si="2"/>
        <v>0</v>
      </c>
    </row>
    <row r="45" spans="1:16" ht="15.75" customHeight="1">
      <c r="G45" s="16" t="s">
        <v>238</v>
      </c>
      <c r="H45" s="16">
        <v>1</v>
      </c>
      <c r="I45" s="16">
        <v>0</v>
      </c>
      <c r="J45" s="16">
        <v>1</v>
      </c>
      <c r="K45" s="16">
        <v>0</v>
      </c>
      <c r="L45" s="16">
        <v>0</v>
      </c>
      <c r="M45" s="16">
        <v>1</v>
      </c>
      <c r="O45">
        <f t="shared" si="1"/>
        <v>2</v>
      </c>
      <c r="P45">
        <f t="shared" si="2"/>
        <v>1</v>
      </c>
    </row>
    <row r="46" spans="1:16" ht="15.75" customHeight="1">
      <c r="G46" s="16" t="s">
        <v>239</v>
      </c>
      <c r="H46" s="16">
        <v>1</v>
      </c>
      <c r="I46" s="16">
        <v>0</v>
      </c>
      <c r="J46" s="16">
        <v>0</v>
      </c>
      <c r="K46" s="16">
        <v>0</v>
      </c>
      <c r="L46" s="16">
        <v>0</v>
      </c>
      <c r="M46" s="16">
        <v>0</v>
      </c>
      <c r="O46">
        <f t="shared" si="1"/>
        <v>0</v>
      </c>
      <c r="P46">
        <f t="shared" si="2"/>
        <v>0</v>
      </c>
    </row>
    <row r="47" spans="1:16" ht="15.75" customHeight="1">
      <c r="G47" s="16" t="s">
        <v>240</v>
      </c>
      <c r="H47" s="16">
        <v>1</v>
      </c>
      <c r="I47" s="16">
        <v>0</v>
      </c>
      <c r="J47" s="16">
        <v>0</v>
      </c>
      <c r="K47" s="16">
        <v>0</v>
      </c>
      <c r="L47" s="16">
        <v>0</v>
      </c>
      <c r="M47" s="16">
        <v>0</v>
      </c>
      <c r="O47">
        <f t="shared" si="1"/>
        <v>0</v>
      </c>
      <c r="P47">
        <f t="shared" si="2"/>
        <v>0</v>
      </c>
    </row>
    <row r="48" spans="1:16" ht="15.75" customHeight="1">
      <c r="G48" s="16" t="s">
        <v>241</v>
      </c>
      <c r="H48" s="16">
        <v>0</v>
      </c>
      <c r="I48" s="16">
        <v>0</v>
      </c>
      <c r="J48" s="16">
        <v>0</v>
      </c>
      <c r="K48" s="16">
        <v>0</v>
      </c>
      <c r="L48" s="16">
        <v>1</v>
      </c>
      <c r="M48" s="16">
        <v>1</v>
      </c>
      <c r="O48">
        <f t="shared" si="1"/>
        <v>1</v>
      </c>
      <c r="P48">
        <f t="shared" si="2"/>
        <v>1</v>
      </c>
    </row>
    <row r="49" spans="7:16" ht="15.75" customHeight="1">
      <c r="G49" s="16" t="s">
        <v>242</v>
      </c>
      <c r="H49" s="16">
        <v>0</v>
      </c>
      <c r="I49" s="16">
        <v>0</v>
      </c>
      <c r="J49" s="16">
        <v>0</v>
      </c>
      <c r="K49" s="16">
        <v>0</v>
      </c>
      <c r="L49" s="16">
        <v>1</v>
      </c>
      <c r="M49" s="16">
        <v>1</v>
      </c>
      <c r="O49">
        <f t="shared" si="1"/>
        <v>1</v>
      </c>
      <c r="P49">
        <f t="shared" si="2"/>
        <v>1</v>
      </c>
    </row>
    <row r="50" spans="7:16" ht="15.75" customHeight="1">
      <c r="G50" s="16" t="s">
        <v>243</v>
      </c>
      <c r="H50" s="16">
        <v>0</v>
      </c>
      <c r="I50" s="16">
        <v>0</v>
      </c>
      <c r="J50" s="16">
        <v>0</v>
      </c>
      <c r="K50" s="16">
        <v>0</v>
      </c>
      <c r="L50" s="16">
        <v>1</v>
      </c>
      <c r="M50" s="16">
        <v>1</v>
      </c>
      <c r="O50">
        <f t="shared" si="1"/>
        <v>1</v>
      </c>
      <c r="P50">
        <f t="shared" si="2"/>
        <v>1</v>
      </c>
    </row>
    <row r="51" spans="7:16" ht="15.75" customHeight="1">
      <c r="G51" s="16" t="s">
        <v>244</v>
      </c>
      <c r="H51" s="16">
        <v>0</v>
      </c>
      <c r="I51" s="16">
        <v>0</v>
      </c>
      <c r="J51" s="16">
        <v>1</v>
      </c>
      <c r="K51" s="16">
        <v>0</v>
      </c>
      <c r="L51" s="16">
        <v>0</v>
      </c>
      <c r="M51" s="16">
        <v>1</v>
      </c>
      <c r="O51">
        <f t="shared" si="1"/>
        <v>2</v>
      </c>
      <c r="P51">
        <f t="shared" si="2"/>
        <v>1</v>
      </c>
    </row>
    <row r="52" spans="7:16" ht="15.75" customHeight="1">
      <c r="G52" s="16" t="s">
        <v>245</v>
      </c>
      <c r="H52" s="16">
        <v>1</v>
      </c>
      <c r="I52" s="16">
        <v>0</v>
      </c>
      <c r="J52" s="16">
        <v>1</v>
      </c>
      <c r="K52" s="16">
        <v>0</v>
      </c>
      <c r="L52" s="16">
        <v>0</v>
      </c>
      <c r="M52" s="16">
        <v>1</v>
      </c>
      <c r="O52">
        <f t="shared" si="1"/>
        <v>2</v>
      </c>
      <c r="P52">
        <f t="shared" si="2"/>
        <v>1</v>
      </c>
    </row>
    <row r="53" spans="7:16" ht="15.75" customHeight="1">
      <c r="G53" s="16" t="s">
        <v>246</v>
      </c>
      <c r="H53" s="16">
        <v>1</v>
      </c>
      <c r="I53" s="16">
        <v>0</v>
      </c>
      <c r="J53" s="16">
        <v>1</v>
      </c>
      <c r="K53" s="16">
        <v>0</v>
      </c>
      <c r="L53" s="16">
        <v>0</v>
      </c>
      <c r="M53" s="16">
        <v>1</v>
      </c>
      <c r="O53">
        <f t="shared" si="1"/>
        <v>2</v>
      </c>
      <c r="P53">
        <f t="shared" si="2"/>
        <v>1</v>
      </c>
    </row>
    <row r="55" spans="7:16" ht="75.95" customHeight="1">
      <c r="G55" s="18" t="s">
        <v>257</v>
      </c>
      <c r="H55" s="18" t="s">
        <v>258</v>
      </c>
    </row>
    <row r="57" spans="7:16" ht="15.75" customHeight="1">
      <c r="G57" t="s">
        <v>259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9"/>
  <sheetViews>
    <sheetView workbookViewId="0"/>
  </sheetViews>
  <sheetFormatPr defaultColWidth="12.5703125" defaultRowHeight="15.75" customHeight="1"/>
  <cols>
    <col min="1" max="1" width="27.28515625" customWidth="1"/>
    <col min="2" max="2" width="13.7109375" customWidth="1"/>
    <col min="3" max="3" width="18.42578125" customWidth="1"/>
    <col min="4" max="4" width="25" customWidth="1"/>
  </cols>
  <sheetData>
    <row r="1" spans="1:4" ht="12.95">
      <c r="A1" s="3" t="s">
        <v>260</v>
      </c>
      <c r="B1" s="3" t="s">
        <v>261</v>
      </c>
      <c r="C1" s="3" t="s">
        <v>262</v>
      </c>
      <c r="D1" s="3" t="s">
        <v>263</v>
      </c>
    </row>
    <row r="2" spans="1:4" ht="15.75" customHeight="1">
      <c r="A2" s="1" t="s">
        <v>264</v>
      </c>
      <c r="B2" s="1">
        <v>140</v>
      </c>
      <c r="C2" s="1">
        <v>30</v>
      </c>
      <c r="D2" s="1">
        <f t="shared" ref="D2:D8" si="0">C2/B2</f>
        <v>0.21428571428571427</v>
      </c>
    </row>
    <row r="3" spans="1:4" ht="15.75" customHeight="1">
      <c r="A3" s="1" t="s">
        <v>265</v>
      </c>
      <c r="B3" s="1">
        <v>115</v>
      </c>
      <c r="C3" s="1">
        <v>100</v>
      </c>
      <c r="D3" s="1">
        <f t="shared" si="0"/>
        <v>0.86956521739130432</v>
      </c>
    </row>
    <row r="4" spans="1:4" ht="15.75" customHeight="1">
      <c r="A4" s="1" t="s">
        <v>266</v>
      </c>
      <c r="B4" s="1">
        <v>150</v>
      </c>
      <c r="C4" s="1">
        <v>110</v>
      </c>
      <c r="D4" s="1">
        <f t="shared" si="0"/>
        <v>0.73333333333333328</v>
      </c>
    </row>
    <row r="5" spans="1:4" ht="15.75" customHeight="1">
      <c r="A5" s="1" t="s">
        <v>267</v>
      </c>
      <c r="B5" s="1">
        <v>340</v>
      </c>
      <c r="C5" s="1">
        <v>35</v>
      </c>
      <c r="D5" s="1">
        <f t="shared" si="0"/>
        <v>0.10294117647058823</v>
      </c>
    </row>
    <row r="6" spans="1:4" ht="15.75" customHeight="1">
      <c r="A6" s="1" t="s">
        <v>268</v>
      </c>
      <c r="B6" s="1">
        <v>250</v>
      </c>
      <c r="C6" s="1">
        <v>150</v>
      </c>
      <c r="D6" s="1">
        <f t="shared" si="0"/>
        <v>0.6</v>
      </c>
    </row>
    <row r="7" spans="1:4" ht="15.75" customHeight="1">
      <c r="A7" s="1" t="s">
        <v>269</v>
      </c>
      <c r="B7" s="1">
        <v>160</v>
      </c>
      <c r="C7" s="1">
        <v>120</v>
      </c>
      <c r="D7" s="1">
        <f t="shared" si="0"/>
        <v>0.75</v>
      </c>
    </row>
    <row r="8" spans="1:4" ht="15.75" customHeight="1">
      <c r="A8" s="1" t="s">
        <v>270</v>
      </c>
      <c r="B8" s="1">
        <v>210</v>
      </c>
      <c r="C8" s="1">
        <v>300</v>
      </c>
      <c r="D8" s="1">
        <f t="shared" si="0"/>
        <v>1.4285714285714286</v>
      </c>
    </row>
    <row r="9" spans="1:4" ht="15.75" customHeight="1">
      <c r="D9" s="1" t="s">
        <v>271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
  <sheetViews>
    <sheetView workbookViewId="0"/>
  </sheetViews>
  <sheetFormatPr defaultColWidth="12.5703125" defaultRowHeight="15.75"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2026-03-17T18:08:09Z</dcterms:created>
  <dcterms:modified xsi:type="dcterms:W3CDTF">2026-03-28T06:20:06Z</dcterms:modified>
  <cp:category/>
  <cp:contentStatus/>
</cp:coreProperties>
</file>